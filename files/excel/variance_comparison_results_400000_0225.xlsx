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C61B3B28-6154-43CD-8830-681A636AA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D_Comparison" sheetId="1" r:id="rId1"/>
    <sheet name="YTD_Comparison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N3" i="1" s="1"/>
  <c r="K3" i="1"/>
  <c r="L3" i="1"/>
  <c r="M3" i="1"/>
  <c r="J4" i="1"/>
  <c r="N4" i="1" s="1"/>
  <c r="K4" i="1"/>
  <c r="L4" i="1"/>
  <c r="M4" i="1"/>
  <c r="J5" i="1"/>
  <c r="K5" i="1"/>
  <c r="L5" i="1"/>
  <c r="M5" i="1"/>
  <c r="N5" i="1"/>
  <c r="J6" i="1"/>
  <c r="N6" i="1" s="1"/>
  <c r="K6" i="1"/>
  <c r="L6" i="1"/>
  <c r="M6" i="1"/>
  <c r="J7" i="1"/>
  <c r="N7" i="1" s="1"/>
  <c r="K7" i="1"/>
  <c r="L7" i="1"/>
  <c r="M7" i="1"/>
  <c r="J8" i="1"/>
  <c r="N8" i="1" s="1"/>
  <c r="K8" i="1"/>
  <c r="L8" i="1"/>
  <c r="M8" i="1"/>
  <c r="J9" i="1"/>
  <c r="N9" i="1" s="1"/>
  <c r="K9" i="1"/>
  <c r="L9" i="1"/>
  <c r="M9" i="1"/>
  <c r="J10" i="1"/>
  <c r="N10" i="1" s="1"/>
  <c r="K10" i="1"/>
  <c r="L10" i="1"/>
  <c r="M10" i="1"/>
  <c r="J11" i="1"/>
  <c r="K11" i="1"/>
  <c r="L11" i="1"/>
  <c r="M11" i="1"/>
  <c r="N11" i="1"/>
  <c r="J12" i="1"/>
  <c r="N12" i="1" s="1"/>
  <c r="K12" i="1"/>
  <c r="L12" i="1"/>
  <c r="M12" i="1"/>
  <c r="K2" i="1"/>
  <c r="L2" i="1"/>
  <c r="M2" i="1"/>
  <c r="N2" i="1"/>
  <c r="J2" i="1"/>
  <c r="K2" i="2"/>
  <c r="L2" i="2"/>
  <c r="M2" i="2"/>
  <c r="N2" i="2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J3" i="2"/>
  <c r="J4" i="2"/>
  <c r="J5" i="2"/>
  <c r="J6" i="2"/>
  <c r="J7" i="2"/>
  <c r="J8" i="2"/>
  <c r="J9" i="2"/>
  <c r="J10" i="2"/>
  <c r="J11" i="2"/>
  <c r="J12" i="2"/>
  <c r="J2" i="2"/>
</calcChain>
</file>

<file path=xl/sharedStrings.xml><?xml version="1.0" encoding="utf-8"?>
<sst xmlns="http://schemas.openxmlformats.org/spreadsheetml/2006/main" count="65" uniqueCount="39">
  <si>
    <t>Label</t>
  </si>
  <si>
    <t>Actual MTD_Extracted</t>
  </si>
  <si>
    <t>Budget MTD_Extracted</t>
  </si>
  <si>
    <t>Variance MTD_Extracted</t>
  </si>
  <si>
    <t>Variance % MTD_Extracted</t>
  </si>
  <si>
    <t>Actual MTD_Report</t>
  </si>
  <si>
    <t>Budget MTD_Report</t>
  </si>
  <si>
    <t>Variance MTD_Report</t>
  </si>
  <si>
    <t>Variance % MTD_Report</t>
  </si>
  <si>
    <t>MTD_Actual_Match</t>
  </si>
  <si>
    <t>MTD_Budget_Match</t>
  </si>
  <si>
    <t>MTD_Variance_Match</t>
  </si>
  <si>
    <t>MTD_Variance%_Match</t>
  </si>
  <si>
    <t>MTD_Overall_Match</t>
  </si>
  <si>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</si>
  <si>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</si>
  <si>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</si>
  <si>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</si>
  <si>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</si>
  <si>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</si>
  <si>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</si>
  <si>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</si>
  <si>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</si>
  <si>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</si>
  <si>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</si>
  <si>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Actual YTD_Extracted</t>
  </si>
  <si>
    <t>Budget YTD_Extracted</t>
  </si>
  <si>
    <t>Variance YTD_Extracted</t>
  </si>
  <si>
    <t>Variance % YTD_Extracted</t>
  </si>
  <si>
    <t>Actual YTD_Report</t>
  </si>
  <si>
    <t>Budget YTD_Report</t>
  </si>
  <si>
    <t>Variance YTD_Report</t>
  </si>
  <si>
    <t>Variance % YTD_Report</t>
  </si>
  <si>
    <t>YTD_Actual_Match</t>
  </si>
  <si>
    <t>YTD_Budget_Match</t>
  </si>
  <si>
    <t>YTD_Variance_Match</t>
  </si>
  <si>
    <t>YTD_Variance%_Match</t>
  </si>
  <si>
    <t>YTD_Overall_Match</t>
  </si>
  <si>
    <t>Final_Result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</si>
</sst>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RowHeight="14.4" x14ac:dyDescent="0.3"/>
  <cols>
    <col min="1" max="1" width="22.5546875" bestFit="1" customWidth="1"/>
    <col min="2" max="2" width="19.88671875" bestFit="1" customWidth="1"/>
    <col min="3" max="3" width="20.5546875" bestFit="1" customWidth="1"/>
    <col min="4" max="4" width="22" bestFit="1" customWidth="1"/>
    <col min="5" max="5" width="23.88671875" bestFit="1" customWidth="1"/>
    <col min="6" max="6" width="17.6640625" bestFit="1" customWidth="1"/>
    <col min="7" max="7" width="18.33203125" bestFit="1" customWidth="1"/>
    <col min="8" max="8" width="19.6640625" bestFit="1" customWidth="1"/>
    <col min="9" max="9" width="21.6640625" bestFit="1" customWidth="1"/>
    <col min="10" max="10" width="18" bestFit="1" customWidth="1"/>
    <col min="11" max="11" width="18.6640625" bestFit="1" customWidth="1"/>
    <col min="12" max="12" width="20" bestFit="1" customWidth="1"/>
    <col min="13" max="13" width="21.5546875" bestFit="1" customWidth="1"/>
    <col min="14" max="14" width="18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6578307.2800000003</v>
      </c>
      <c r="C2">
        <v>0</v>
      </c>
      <c r="D2">
        <v>6578307.2800000003</v>
      </c>
      <c r="E2">
        <v>0</v>
      </c>
      <c r="F2" s="2">
        <v>6578317.8200000003</v>
      </c>
      <c r="G2" s="2">
        <v>2180410.11</v>
      </c>
      <c r="H2" s="3">
        <v>4397907.71</v>
      </c>
      <c r="I2" s="3">
        <v>201.7</v>
      </c>
      <c r="J2" t="str">
        <f>IF(B2=F2, "TRUE", "FALSE")</f>
        <v>FALSE</v>
      </c>
      <c r="K2" t="str">
        <f t="shared" ref="K2:N2" si="0">IF(C2=G2, "TRUE", "FALSE")</f>
        <v>FALSE</v>
      </c>
      <c r="L2" t="str">
        <f t="shared" si="0"/>
        <v>FALSE</v>
      </c>
      <c r="M2" t="str">
        <f t="shared" si="0"/>
        <v>FALSE</v>
      </c>
      <c r="N2" t="str">
        <f t="shared" si="0"/>
        <v>FALSE</v>
      </c>
    </row>
    <row r="3" spans="1:14" x14ac:dyDescent="0.3">
      <c r="A3" t="s">
        <v>15</v>
      </c>
      <c r="B3">
        <v>524428.11</v>
      </c>
      <c r="C3">
        <v>0</v>
      </c>
      <c r="D3">
        <v>-524428.11</v>
      </c>
      <c r="E3">
        <v>0</v>
      </c>
      <c r="F3" s="2">
        <v>524428.11</v>
      </c>
      <c r="G3" s="2">
        <v>137314</v>
      </c>
      <c r="H3" s="3">
        <v>-387114.11</v>
      </c>
      <c r="I3" s="3">
        <v>-281.92</v>
      </c>
      <c r="J3" t="str">
        <f t="shared" ref="J3:J12" si="1">IF(B3=F3, "TRUE", "FALSE")</f>
        <v>TRUE</v>
      </c>
      <c r="K3" t="str">
        <f t="shared" ref="K3:K12" si="2">IF(C3=G3, "TRUE", "FALSE")</f>
        <v>FALSE</v>
      </c>
      <c r="L3" t="str">
        <f t="shared" ref="L3:L12" si="3">IF(D3=H3, "TRUE", "FALSE")</f>
        <v>FALSE</v>
      </c>
      <c r="M3" t="str">
        <f t="shared" ref="M3:M12" si="4">IF(E3=I3, "TRUE", "FALSE")</f>
        <v>FALSE</v>
      </c>
      <c r="N3" t="str">
        <f t="shared" ref="N3:N12" si="5">IF(F3=J3, "TRUE", "FALSE")</f>
        <v>FALSE</v>
      </c>
    </row>
    <row r="4" spans="1:14" x14ac:dyDescent="0.3">
      <c r="A4" t="s">
        <v>16</v>
      </c>
      <c r="B4">
        <v>650076.37</v>
      </c>
      <c r="C4">
        <v>0</v>
      </c>
      <c r="D4">
        <v>650076.37</v>
      </c>
      <c r="E4">
        <v>0</v>
      </c>
      <c r="F4" s="2">
        <v>650076.37</v>
      </c>
      <c r="G4" s="2"/>
      <c r="H4" s="3">
        <v>650076.37</v>
      </c>
      <c r="I4" s="3">
        <v>0</v>
      </c>
      <c r="J4" t="str">
        <f t="shared" si="1"/>
        <v>TRUE</v>
      </c>
      <c r="K4" t="str">
        <f t="shared" si="2"/>
        <v>TRUE</v>
      </c>
      <c r="L4" t="str">
        <f t="shared" si="3"/>
        <v>TRUE</v>
      </c>
      <c r="M4" t="str">
        <f t="shared" si="4"/>
        <v>TRUE</v>
      </c>
      <c r="N4" t="str">
        <f t="shared" si="5"/>
        <v>FALSE</v>
      </c>
    </row>
    <row r="5" spans="1:14" x14ac:dyDescent="0.3">
      <c r="A5" t="s">
        <v>17</v>
      </c>
      <c r="B5">
        <v>1837021.04</v>
      </c>
      <c r="C5">
        <v>0</v>
      </c>
      <c r="D5">
        <v>1837021.04</v>
      </c>
      <c r="E5">
        <v>0</v>
      </c>
      <c r="F5" s="2">
        <v>1837021.04</v>
      </c>
      <c r="G5" s="2">
        <v>579921</v>
      </c>
      <c r="H5" s="3">
        <v>1257100.04</v>
      </c>
      <c r="I5" s="3">
        <v>216.77</v>
      </c>
      <c r="J5" t="str">
        <f t="shared" si="1"/>
        <v>TRUE</v>
      </c>
      <c r="K5" t="str">
        <f t="shared" si="2"/>
        <v>FALSE</v>
      </c>
      <c r="L5" t="str">
        <f t="shared" si="3"/>
        <v>FALSE</v>
      </c>
      <c r="M5" t="str">
        <f t="shared" si="4"/>
        <v>FALSE</v>
      </c>
      <c r="N5" t="str">
        <f t="shared" si="5"/>
        <v>FALSE</v>
      </c>
    </row>
    <row r="6" spans="1:14" x14ac:dyDescent="0.3">
      <c r="A6" t="s">
        <v>18</v>
      </c>
      <c r="B6">
        <v>7158772.7699999996</v>
      </c>
      <c r="C6">
        <v>0</v>
      </c>
      <c r="D6">
        <v>7158772.7699999996</v>
      </c>
      <c r="E6">
        <v>0</v>
      </c>
      <c r="F6" s="2">
        <v>7158772.7699999996</v>
      </c>
      <c r="G6" s="2">
        <v>2484954</v>
      </c>
      <c r="H6" s="3">
        <v>4673818.7699999996</v>
      </c>
      <c r="I6" s="3">
        <v>188.08</v>
      </c>
      <c r="J6" t="str">
        <f t="shared" si="1"/>
        <v>TRUE</v>
      </c>
      <c r="K6" t="str">
        <f t="shared" si="2"/>
        <v>FALSE</v>
      </c>
      <c r="L6" t="str">
        <f t="shared" si="3"/>
        <v>FALSE</v>
      </c>
      <c r="M6" t="str">
        <f t="shared" si="4"/>
        <v>FALSE</v>
      </c>
      <c r="N6" t="str">
        <f t="shared" si="5"/>
        <v>FALSE</v>
      </c>
    </row>
    <row r="7" spans="1:14" x14ac:dyDescent="0.3">
      <c r="A7" t="s">
        <v>19</v>
      </c>
      <c r="B7">
        <v>602101.64</v>
      </c>
      <c r="C7">
        <v>0</v>
      </c>
      <c r="D7">
        <v>602101.64</v>
      </c>
      <c r="E7">
        <v>0</v>
      </c>
      <c r="F7" s="2">
        <v>602101.64</v>
      </c>
      <c r="G7" s="2">
        <v>197893</v>
      </c>
      <c r="H7" s="3">
        <v>404208.64000000001</v>
      </c>
      <c r="I7" s="3">
        <v>204.26</v>
      </c>
      <c r="J7" t="str">
        <f t="shared" si="1"/>
        <v>TRUE</v>
      </c>
      <c r="K7" t="str">
        <f t="shared" si="2"/>
        <v>FALSE</v>
      </c>
      <c r="L7" t="str">
        <f t="shared" si="3"/>
        <v>FALSE</v>
      </c>
      <c r="M7" t="str">
        <f t="shared" si="4"/>
        <v>FALSE</v>
      </c>
      <c r="N7" t="str">
        <f t="shared" si="5"/>
        <v>FALSE</v>
      </c>
    </row>
    <row r="8" spans="1:14" x14ac:dyDescent="0.3">
      <c r="A8" t="s">
        <v>20</v>
      </c>
      <c r="B8">
        <v>825576.04</v>
      </c>
      <c r="C8">
        <v>0</v>
      </c>
      <c r="D8">
        <v>-825576.04</v>
      </c>
      <c r="E8">
        <v>0</v>
      </c>
      <c r="F8" s="2">
        <v>825576.04</v>
      </c>
      <c r="G8" s="2"/>
      <c r="H8" s="3">
        <v>-825576.04</v>
      </c>
      <c r="I8" s="3">
        <v>0</v>
      </c>
      <c r="J8" t="str">
        <f t="shared" si="1"/>
        <v>TRUE</v>
      </c>
      <c r="K8" t="str">
        <f t="shared" si="2"/>
        <v>TRUE</v>
      </c>
      <c r="L8" t="str">
        <f t="shared" si="3"/>
        <v>TRUE</v>
      </c>
      <c r="M8" t="str">
        <f t="shared" si="4"/>
        <v>TRUE</v>
      </c>
      <c r="N8" t="str">
        <f t="shared" si="5"/>
        <v>FALSE</v>
      </c>
    </row>
    <row r="9" spans="1:14" x14ac:dyDescent="0.3">
      <c r="A9" t="s">
        <v>21</v>
      </c>
      <c r="B9">
        <v>3019588.17</v>
      </c>
      <c r="C9">
        <v>0</v>
      </c>
      <c r="D9">
        <v>-3019588.17</v>
      </c>
      <c r="E9">
        <v>0</v>
      </c>
      <c r="F9" s="2">
        <v>3019577.63</v>
      </c>
      <c r="G9" s="2">
        <v>1082357.8899999999</v>
      </c>
      <c r="H9" s="3">
        <v>-1937219.74</v>
      </c>
      <c r="I9" s="3">
        <v>-178.98</v>
      </c>
      <c r="J9" t="str">
        <f t="shared" si="1"/>
        <v>FALSE</v>
      </c>
      <c r="K9" t="str">
        <f t="shared" si="2"/>
        <v>FALSE</v>
      </c>
      <c r="L9" t="str">
        <f t="shared" si="3"/>
        <v>FALSE</v>
      </c>
      <c r="M9" t="str">
        <f t="shared" si="4"/>
        <v>FALSE</v>
      </c>
      <c r="N9" t="str">
        <f t="shared" si="5"/>
        <v>FALSE</v>
      </c>
    </row>
    <row r="10" spans="1:14" x14ac:dyDescent="0.3">
      <c r="A10" t="s">
        <v>22</v>
      </c>
      <c r="B10">
        <v>9597895.4499999993</v>
      </c>
      <c r="C10">
        <v>0</v>
      </c>
      <c r="D10">
        <v>9597895.4499999993</v>
      </c>
      <c r="E10">
        <v>0</v>
      </c>
      <c r="F10" s="2">
        <v>9597895.4499999993</v>
      </c>
      <c r="G10" s="2">
        <v>3262768</v>
      </c>
      <c r="H10" s="3">
        <v>6335127.4500000002</v>
      </c>
      <c r="I10" s="3">
        <v>194.16</v>
      </c>
      <c r="J10" t="str">
        <f t="shared" si="1"/>
        <v>TRUE</v>
      </c>
      <c r="K10" t="str">
        <f t="shared" si="2"/>
        <v>FALSE</v>
      </c>
      <c r="L10" t="str">
        <f t="shared" si="3"/>
        <v>FALSE</v>
      </c>
      <c r="M10" t="str">
        <f t="shared" si="4"/>
        <v>FALSE</v>
      </c>
      <c r="N10" t="str">
        <f t="shared" si="5"/>
        <v>FALSE</v>
      </c>
    </row>
    <row r="11" spans="1:14" x14ac:dyDescent="0.3">
      <c r="A11" t="s">
        <v>23</v>
      </c>
      <c r="B11">
        <v>-538923.42000000004</v>
      </c>
      <c r="C11">
        <v>0</v>
      </c>
      <c r="D11">
        <v>-538923.42000000004</v>
      </c>
      <c r="E11">
        <v>0</v>
      </c>
      <c r="F11" s="2">
        <v>538914.62</v>
      </c>
      <c r="G11" s="2">
        <v>246939.46</v>
      </c>
      <c r="H11" s="3">
        <v>-291975.15999999997</v>
      </c>
      <c r="I11" s="3">
        <v>-118.24</v>
      </c>
      <c r="J11" t="str">
        <f t="shared" si="1"/>
        <v>FALSE</v>
      </c>
      <c r="K11" t="str">
        <f t="shared" si="2"/>
        <v>FALSE</v>
      </c>
      <c r="L11" t="str">
        <f t="shared" si="3"/>
        <v>FALSE</v>
      </c>
      <c r="M11" t="str">
        <f t="shared" si="4"/>
        <v>FALSE</v>
      </c>
      <c r="N11" t="str">
        <f t="shared" si="5"/>
        <v>FALSE</v>
      </c>
    </row>
    <row r="12" spans="1:14" x14ac:dyDescent="0.3">
      <c r="A12" t="s">
        <v>24</v>
      </c>
      <c r="B12">
        <v>1956236.64</v>
      </c>
      <c r="C12">
        <v>0</v>
      </c>
      <c r="D12">
        <v>-1956236.64</v>
      </c>
      <c r="E12">
        <v>0</v>
      </c>
      <c r="F12" s="2">
        <v>1956234.9</v>
      </c>
      <c r="G12" s="2">
        <v>698104.43</v>
      </c>
      <c r="H12" s="3">
        <v>-1258130.47</v>
      </c>
      <c r="I12" s="3">
        <v>-180.22</v>
      </c>
      <c r="J12" t="str">
        <f t="shared" si="1"/>
        <v>FALSE</v>
      </c>
      <c r="K12" t="str">
        <f t="shared" si="2"/>
        <v>FALSE</v>
      </c>
      <c r="L12" t="str">
        <f t="shared" si="3"/>
        <v>FALSE</v>
      </c>
      <c r="M12" t="str">
        <f t="shared" si="4"/>
        <v>FALSE</v>
      </c>
      <c r="N12" t="str">
        <f t="shared" si="5"/>
        <v>FALSE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J2" sqref="J2"/>
    </sheetView>
  </sheetViews>
  <sheetFormatPr defaultRowHeight="14.4" x14ac:dyDescent="0.3"/>
  <cols>
    <col min="1" max="1" width="22.5546875" bestFit="1" customWidth="1"/>
    <col min="2" max="2" width="19.109375" bestFit="1" customWidth="1"/>
    <col min="3" max="3" width="19.77734375" bestFit="1" customWidth="1"/>
    <col min="4" max="4" width="21.109375" bestFit="1" customWidth="1"/>
    <col min="5" max="5" width="23.109375" bestFit="1" customWidth="1"/>
    <col min="6" max="6" width="16.77734375" bestFit="1" customWidth="1"/>
    <col min="7" max="7" width="17.5546875" bestFit="1" customWidth="1"/>
    <col min="8" max="8" width="18.88671875" bestFit="1" customWidth="1"/>
    <col min="9" max="9" width="20.77734375" bestFit="1" customWidth="1"/>
    <col min="10" max="10" width="17.21875" bestFit="1" customWidth="1"/>
    <col min="11" max="11" width="17.88671875" bestFit="1" customWidth="1"/>
    <col min="12" max="12" width="19.21875" bestFit="1" customWidth="1"/>
    <col min="13" max="13" width="20.6640625" bestFit="1" customWidth="1"/>
    <col min="14" max="14" width="17.77734375" bestFit="1" customWidth="1"/>
  </cols>
  <sheetData>
    <row r="1" spans="1:14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t="s">
        <v>14</v>
      </c>
      <c r="B2">
        <v>44292057.32</v>
      </c>
      <c r="C2">
        <v>0</v>
      </c>
      <c r="D2">
        <v>44292057.32</v>
      </c>
      <c r="E2">
        <v>0</v>
      </c>
      <c r="F2" s="3">
        <v>44292148.670000002</v>
      </c>
      <c r="G2" s="3">
        <v>16099619.880000001</v>
      </c>
      <c r="H2" s="3">
        <v>28192528.789999999</v>
      </c>
      <c r="I2" s="4">
        <v>175.11</v>
      </c>
      <c r="J2" t="str">
        <f>IF(B2=F2, "TRUE", "FALSE")</f>
        <v>FALSE</v>
      </c>
      <c r="K2" t="str">
        <f t="shared" ref="K2:N12" si="0">IF(C2=G2, "TRUE", "FALSE")</f>
        <v>FALSE</v>
      </c>
      <c r="L2" t="str">
        <f t="shared" si="0"/>
        <v>FALSE</v>
      </c>
      <c r="M2" t="str">
        <f t="shared" si="0"/>
        <v>FALSE</v>
      </c>
      <c r="N2" t="str">
        <f t="shared" si="0"/>
        <v>FALSE</v>
      </c>
    </row>
    <row r="3" spans="1:14" x14ac:dyDescent="0.3">
      <c r="A3" t="s">
        <v>15</v>
      </c>
      <c r="B3">
        <v>4306896.71</v>
      </c>
      <c r="C3">
        <v>0</v>
      </c>
      <c r="D3">
        <v>-4306896.71</v>
      </c>
      <c r="E3">
        <v>0</v>
      </c>
      <c r="F3" s="3">
        <v>4306896.71</v>
      </c>
      <c r="G3" s="3">
        <v>947556</v>
      </c>
      <c r="H3" s="3">
        <v>-3359340.71</v>
      </c>
      <c r="I3" s="4">
        <v>-354.53</v>
      </c>
      <c r="J3" t="str">
        <f t="shared" ref="J3:J12" si="1">IF(B3=F3, "TRUE", "FALSE")</f>
        <v>TRUE</v>
      </c>
      <c r="K3" t="str">
        <f t="shared" si="0"/>
        <v>FALSE</v>
      </c>
      <c r="L3" t="str">
        <f t="shared" si="0"/>
        <v>FALSE</v>
      </c>
      <c r="M3" t="str">
        <f t="shared" si="0"/>
        <v>FALSE</v>
      </c>
      <c r="N3" t="str">
        <f t="shared" si="0"/>
        <v>FALSE</v>
      </c>
    </row>
    <row r="4" spans="1:14" x14ac:dyDescent="0.3">
      <c r="A4" t="s">
        <v>16</v>
      </c>
      <c r="B4">
        <v>3539851.51</v>
      </c>
      <c r="C4">
        <v>0</v>
      </c>
      <c r="D4">
        <v>3539851.51</v>
      </c>
      <c r="E4">
        <v>0</v>
      </c>
      <c r="F4" s="3">
        <v>3539851.51</v>
      </c>
      <c r="G4" s="3"/>
      <c r="H4" s="3">
        <v>3539851.51</v>
      </c>
      <c r="I4" s="4">
        <v>0</v>
      </c>
      <c r="J4" t="str">
        <f t="shared" si="1"/>
        <v>TRUE</v>
      </c>
      <c r="K4" t="str">
        <f t="shared" si="0"/>
        <v>TRUE</v>
      </c>
      <c r="L4" t="str">
        <f t="shared" si="0"/>
        <v>TRUE</v>
      </c>
      <c r="M4" t="str">
        <f t="shared" si="0"/>
        <v>TRUE</v>
      </c>
      <c r="N4" t="str">
        <f t="shared" si="0"/>
        <v>FALSE</v>
      </c>
    </row>
    <row r="5" spans="1:14" x14ac:dyDescent="0.3">
      <c r="A5" t="s">
        <v>17</v>
      </c>
      <c r="B5">
        <v>14680057.470000001</v>
      </c>
      <c r="C5">
        <v>0</v>
      </c>
      <c r="D5">
        <v>14680057.470000001</v>
      </c>
      <c r="E5">
        <v>0</v>
      </c>
      <c r="F5" s="3">
        <v>14680057.470000001</v>
      </c>
      <c r="G5" s="3">
        <v>4493937</v>
      </c>
      <c r="H5" s="3">
        <v>10186120.470000001</v>
      </c>
      <c r="I5" s="4">
        <v>226.66</v>
      </c>
      <c r="J5" t="str">
        <f t="shared" si="1"/>
        <v>TRUE</v>
      </c>
      <c r="K5" t="str">
        <f t="shared" si="0"/>
        <v>FALSE</v>
      </c>
      <c r="L5" t="str">
        <f t="shared" si="0"/>
        <v>FALSE</v>
      </c>
      <c r="M5" t="str">
        <f t="shared" si="0"/>
        <v>FALSE</v>
      </c>
      <c r="N5" t="str">
        <f t="shared" si="0"/>
        <v>FALSE</v>
      </c>
    </row>
    <row r="6" spans="1:14" x14ac:dyDescent="0.3">
      <c r="A6" t="s">
        <v>18</v>
      </c>
      <c r="B6">
        <v>57839592.859999999</v>
      </c>
      <c r="C6">
        <v>0</v>
      </c>
      <c r="D6">
        <v>57839592.859999999</v>
      </c>
      <c r="E6">
        <v>0</v>
      </c>
      <c r="F6" s="3">
        <v>57839592.859999999</v>
      </c>
      <c r="G6" s="3">
        <v>18898154</v>
      </c>
      <c r="H6" s="3">
        <v>38941438.859999999</v>
      </c>
      <c r="I6" s="4">
        <v>206.06</v>
      </c>
      <c r="J6" t="str">
        <f t="shared" si="1"/>
        <v>TRUE</v>
      </c>
      <c r="K6" t="str">
        <f t="shared" si="0"/>
        <v>FALSE</v>
      </c>
      <c r="L6" t="str">
        <f t="shared" si="0"/>
        <v>FALSE</v>
      </c>
      <c r="M6" t="str">
        <f t="shared" si="0"/>
        <v>FALSE</v>
      </c>
      <c r="N6" t="str">
        <f t="shared" si="0"/>
        <v>FALSE</v>
      </c>
    </row>
    <row r="7" spans="1:14" x14ac:dyDescent="0.3">
      <c r="A7" t="s">
        <v>19</v>
      </c>
      <c r="B7">
        <v>4591236.66</v>
      </c>
      <c r="C7">
        <v>0</v>
      </c>
      <c r="D7">
        <v>4591236.66</v>
      </c>
      <c r="E7">
        <v>0</v>
      </c>
      <c r="F7" s="3">
        <v>4591236.66</v>
      </c>
      <c r="G7" s="3">
        <v>1419625</v>
      </c>
      <c r="H7" s="3">
        <v>3171611.66</v>
      </c>
      <c r="I7" s="4">
        <v>223.41</v>
      </c>
      <c r="J7" t="str">
        <f t="shared" si="1"/>
        <v>TRUE</v>
      </c>
      <c r="K7" t="str">
        <f t="shared" si="0"/>
        <v>FALSE</v>
      </c>
      <c r="L7" t="str">
        <f t="shared" si="0"/>
        <v>FALSE</v>
      </c>
      <c r="M7" t="str">
        <f t="shared" si="0"/>
        <v>FALSE</v>
      </c>
      <c r="N7" t="str">
        <f t="shared" si="0"/>
        <v>FALSE</v>
      </c>
    </row>
    <row r="8" spans="1:14" x14ac:dyDescent="0.3">
      <c r="A8" t="s">
        <v>20</v>
      </c>
      <c r="B8">
        <v>15288587.33</v>
      </c>
      <c r="C8">
        <v>0</v>
      </c>
      <c r="D8">
        <v>-15288587.33</v>
      </c>
      <c r="E8">
        <v>0</v>
      </c>
      <c r="F8" s="3">
        <v>15288587.33</v>
      </c>
      <c r="G8" s="3">
        <v>4620805</v>
      </c>
      <c r="H8" s="3">
        <v>-10667782.33</v>
      </c>
      <c r="I8" s="4">
        <v>-230.86</v>
      </c>
      <c r="J8" t="str">
        <f t="shared" si="1"/>
        <v>TRUE</v>
      </c>
      <c r="K8" t="str">
        <f t="shared" si="0"/>
        <v>FALSE</v>
      </c>
      <c r="L8" t="str">
        <f t="shared" si="0"/>
        <v>FALSE</v>
      </c>
      <c r="M8" t="str">
        <f t="shared" si="0"/>
        <v>FALSE</v>
      </c>
      <c r="N8" t="str">
        <f t="shared" si="0"/>
        <v>FALSE</v>
      </c>
    </row>
    <row r="9" spans="1:14" x14ac:dyDescent="0.3">
      <c r="A9" t="s">
        <v>21</v>
      </c>
      <c r="B9">
        <v>32818829.670000002</v>
      </c>
      <c r="C9">
        <v>0</v>
      </c>
      <c r="D9">
        <v>-32818829.670000002</v>
      </c>
      <c r="E9">
        <v>0</v>
      </c>
      <c r="F9" s="3">
        <v>32818738.32</v>
      </c>
      <c r="G9" s="3">
        <v>8712096.1199999992</v>
      </c>
      <c r="H9" s="3">
        <v>-24106642.199999999</v>
      </c>
      <c r="I9" s="4">
        <v>-276.7</v>
      </c>
      <c r="J9" t="str">
        <f t="shared" si="1"/>
        <v>FALSE</v>
      </c>
      <c r="K9" t="str">
        <f t="shared" si="0"/>
        <v>FALSE</v>
      </c>
      <c r="L9" t="str">
        <f t="shared" si="0"/>
        <v>FALSE</v>
      </c>
      <c r="M9" t="str">
        <f t="shared" si="0"/>
        <v>FALSE</v>
      </c>
      <c r="N9" t="str">
        <f t="shared" si="0"/>
        <v>FALSE</v>
      </c>
    </row>
    <row r="10" spans="1:14" x14ac:dyDescent="0.3">
      <c r="A10" t="s">
        <v>22</v>
      </c>
      <c r="B10">
        <v>77110886.989999995</v>
      </c>
      <c r="C10">
        <v>0</v>
      </c>
      <c r="D10">
        <v>77110886.989999995</v>
      </c>
      <c r="E10">
        <v>0</v>
      </c>
      <c r="F10" s="3">
        <v>77110886.989999995</v>
      </c>
      <c r="G10" s="3">
        <v>24811716</v>
      </c>
      <c r="H10" s="3">
        <v>52299170.990000002</v>
      </c>
      <c r="I10" s="4">
        <v>210.78</v>
      </c>
      <c r="J10" t="str">
        <f t="shared" si="1"/>
        <v>TRUE</v>
      </c>
      <c r="K10" t="str">
        <f t="shared" si="0"/>
        <v>FALSE</v>
      </c>
      <c r="L10" t="str">
        <f t="shared" si="0"/>
        <v>FALSE</v>
      </c>
      <c r="M10" t="str">
        <f t="shared" si="0"/>
        <v>FALSE</v>
      </c>
      <c r="N10" t="str">
        <f t="shared" si="0"/>
        <v>FALSE</v>
      </c>
    </row>
    <row r="11" spans="1:14" x14ac:dyDescent="0.3">
      <c r="A11" t="s">
        <v>23</v>
      </c>
      <c r="B11">
        <v>6259860.9000000004</v>
      </c>
      <c r="C11">
        <v>0</v>
      </c>
      <c r="D11">
        <v>-6259860.9000000004</v>
      </c>
      <c r="E11">
        <v>0</v>
      </c>
      <c r="F11" s="3">
        <v>6259784.54</v>
      </c>
      <c r="G11" s="3">
        <v>2040392.68</v>
      </c>
      <c r="H11" s="3">
        <v>-4219391.8600000003</v>
      </c>
      <c r="I11" s="4">
        <v>-206.79</v>
      </c>
      <c r="J11" t="str">
        <f t="shared" si="1"/>
        <v>FALSE</v>
      </c>
      <c r="K11" t="str">
        <f t="shared" si="0"/>
        <v>FALSE</v>
      </c>
      <c r="L11" t="str">
        <f t="shared" si="0"/>
        <v>FALSE</v>
      </c>
      <c r="M11" t="str">
        <f t="shared" si="0"/>
        <v>FALSE</v>
      </c>
      <c r="N11" t="str">
        <f t="shared" si="0"/>
        <v>FALSE</v>
      </c>
    </row>
    <row r="12" spans="1:14" x14ac:dyDescent="0.3">
      <c r="A12" t="s">
        <v>24</v>
      </c>
      <c r="B12">
        <v>22252072.059999999</v>
      </c>
      <c r="C12">
        <v>0</v>
      </c>
      <c r="D12">
        <v>-22252072.059999999</v>
      </c>
      <c r="E12">
        <v>0</v>
      </c>
      <c r="F12" s="3">
        <v>22252057.07</v>
      </c>
      <c r="G12" s="3">
        <v>5724147.4400000004</v>
      </c>
      <c r="H12" s="3">
        <v>-16527909.630000001</v>
      </c>
      <c r="I12" s="4">
        <v>-288.74</v>
      </c>
      <c r="J12" t="str">
        <f t="shared" si="1"/>
        <v>FALSE</v>
      </c>
      <c r="K12" t="str">
        <f t="shared" si="0"/>
        <v>FALSE</v>
      </c>
      <c r="L12" t="str">
        <f t="shared" si="0"/>
        <v>FALSE</v>
      </c>
      <c r="M12" t="str">
        <f t="shared" si="0"/>
        <v>FALSE</v>
      </c>
      <c r="N12" t="str">
        <f t="shared" si="0"/>
        <v>FALSE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13</v>
      </c>
      <c r="C1" s="1" t="s">
        <v>37</v>
      </c>
      <c r="D1" s="1" t="s">
        <v>38</v>
      </c>
    </row>
    <row r="2" spans="1:4" x14ac:dyDescent="0.3">
      <c r="A2" t="s">
        <v>14</v>
      </c>
      <c r="B2" t="b">
        <v>0</v>
      </c>
      <c r="C2" t="b">
        <v>0</v>
      </c>
      <c r="D2" t="b">
        <v>0</v>
      </c>
    </row>
    <row r="3" spans="1:4" x14ac:dyDescent="0.3">
      <c r="A3" t="s">
        <v>15</v>
      </c>
      <c r="B3" t="b">
        <v>0</v>
      </c>
      <c r="C3" t="b">
        <v>0</v>
      </c>
      <c r="D3" t="b">
        <v>0</v>
      </c>
    </row>
    <row r="4" spans="1:4" x14ac:dyDescent="0.3">
      <c r="A4" t="s">
        <v>16</v>
      </c>
      <c r="B4" t="b">
        <v>0</v>
      </c>
      <c r="C4" t="b">
        <v>0</v>
      </c>
      <c r="D4" t="b">
        <v>0</v>
      </c>
    </row>
    <row r="5" spans="1:4" x14ac:dyDescent="0.3">
      <c r="A5" t="s">
        <v>17</v>
      </c>
      <c r="B5" t="b">
        <v>0</v>
      </c>
      <c r="C5" t="b">
        <v>0</v>
      </c>
      <c r="D5" t="b">
        <v>0</v>
      </c>
    </row>
    <row r="6" spans="1:4" x14ac:dyDescent="0.3">
      <c r="A6" t="s">
        <v>18</v>
      </c>
      <c r="B6" t="b">
        <v>0</v>
      </c>
      <c r="C6" t="b">
        <v>0</v>
      </c>
      <c r="D6" t="b">
        <v>0</v>
      </c>
    </row>
    <row r="7" spans="1:4" x14ac:dyDescent="0.3">
      <c r="A7" t="s">
        <v>19</v>
      </c>
      <c r="B7" t="b">
        <v>0</v>
      </c>
      <c r="C7" t="b">
        <v>0</v>
      </c>
      <c r="D7" t="b">
        <v>0</v>
      </c>
    </row>
    <row r="8" spans="1:4" x14ac:dyDescent="0.3">
      <c r="A8" t="s">
        <v>20</v>
      </c>
      <c r="B8" t="b">
        <v>0</v>
      </c>
      <c r="C8" t="b">
        <v>0</v>
      </c>
      <c r="D8" t="b">
        <v>0</v>
      </c>
    </row>
    <row r="9" spans="1:4" x14ac:dyDescent="0.3">
      <c r="A9" t="s">
        <v>21</v>
      </c>
      <c r="B9" t="b">
        <v>0</v>
      </c>
      <c r="C9" t="b">
        <v>0</v>
      </c>
      <c r="D9" t="b">
        <v>0</v>
      </c>
    </row>
    <row r="10" spans="1:4" x14ac:dyDescent="0.3">
      <c r="A10" t="s">
        <v>22</v>
      </c>
      <c r="B10" t="b">
        <v>0</v>
      </c>
      <c r="C10" t="b">
        <v>0</v>
      </c>
      <c r="D10" t="b">
        <v>0</v>
      </c>
    </row>
    <row r="11" spans="1:4" x14ac:dyDescent="0.3">
      <c r="A11" t="s">
        <v>23</v>
      </c>
      <c r="B11" t="b">
        <v>0</v>
      </c>
      <c r="C11" t="b">
        <v>0</v>
      </c>
      <c r="D11" t="b">
        <v>0</v>
      </c>
    </row>
    <row r="12" spans="1:4" x14ac:dyDescent="0.3">
      <c r="A12" t="s">
        <v>24</v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MTD_Comparison</vt:lpstr>
      <vt:lpstr>YTD_Comparison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2025-11-07T09:06:34Z</dcterms:created>
  <dcterms:modified xsi:type="dcterms:W3CDTF">2025-11-10T08:05:52Z</dcterms:modified>
</cp:coreProperties>
</file>
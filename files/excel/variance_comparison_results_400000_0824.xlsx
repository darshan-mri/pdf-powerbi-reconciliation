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arshan.Singh\Documents\PDFValidation\files\excel\"/>
    </mc:Choice>
  </mc:AlternateContent>
  <xr:revisionPtr revIDLastSave="0" documentId="13_ncr:1_{9FC7BB19-EE88-48A5-9842-80F68DE7B4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TD_Comparison" sheetId="1" r:id="rId1"/>
    <sheet name="YTD_Comparison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L2" i="1"/>
  <c r="M2" i="1"/>
  <c r="N2" i="1"/>
  <c r="K3" i="1"/>
  <c r="L3" i="1"/>
  <c r="M3" i="1"/>
  <c r="N3" i="1"/>
  <c r="K4" i="1"/>
  <c r="L4" i="1"/>
  <c r="M4" i="1"/>
  <c r="N4" i="1"/>
  <c r="K5" i="1"/>
  <c r="L5" i="1"/>
  <c r="M5" i="1"/>
  <c r="N5" i="1"/>
  <c r="K6" i="1"/>
  <c r="L6" i="1"/>
  <c r="M6" i="1"/>
  <c r="N6" i="1"/>
  <c r="K7" i="1"/>
  <c r="L7" i="1"/>
  <c r="M7" i="1"/>
  <c r="N7" i="1"/>
  <c r="K8" i="1"/>
  <c r="L8" i="1"/>
  <c r="M8" i="1"/>
  <c r="N8" i="1"/>
  <c r="K9" i="1"/>
  <c r="L9" i="1"/>
  <c r="M9" i="1"/>
  <c r="N9" i="1"/>
  <c r="K10" i="1"/>
  <c r="L10" i="1"/>
  <c r="M10" i="1"/>
  <c r="N10" i="1"/>
  <c r="K11" i="1"/>
  <c r="L11" i="1"/>
  <c r="M11" i="1"/>
  <c r="N11" i="1"/>
  <c r="K12" i="1"/>
  <c r="L12" i="1"/>
  <c r="M12" i="1"/>
  <c r="N12" i="1"/>
  <c r="J3" i="1"/>
  <c r="J4" i="1"/>
  <c r="J5" i="1"/>
  <c r="J6" i="1"/>
  <c r="J7" i="1"/>
  <c r="J8" i="1"/>
  <c r="J9" i="1"/>
  <c r="J10" i="1"/>
  <c r="J11" i="1"/>
  <c r="J12" i="1"/>
  <c r="J2" i="1"/>
  <c r="K2" i="2"/>
  <c r="L2" i="2"/>
  <c r="M2" i="2"/>
  <c r="N2" i="2"/>
  <c r="K3" i="2"/>
  <c r="L3" i="2"/>
  <c r="M3" i="2"/>
  <c r="N3" i="2"/>
  <c r="K4" i="2"/>
  <c r="L4" i="2"/>
  <c r="M4" i="2"/>
  <c r="N4" i="2"/>
  <c r="K5" i="2"/>
  <c r="L5" i="2"/>
  <c r="M5" i="2"/>
  <c r="N5" i="2"/>
  <c r="K6" i="2"/>
  <c r="L6" i="2"/>
  <c r="M6" i="2"/>
  <c r="N6" i="2"/>
  <c r="K7" i="2"/>
  <c r="L7" i="2"/>
  <c r="M7" i="2"/>
  <c r="N7" i="2"/>
  <c r="K8" i="2"/>
  <c r="L8" i="2"/>
  <c r="M8" i="2"/>
  <c r="N8" i="2"/>
  <c r="K9" i="2"/>
  <c r="L9" i="2"/>
  <c r="M9" i="2"/>
  <c r="N9" i="2"/>
  <c r="K10" i="2"/>
  <c r="L10" i="2"/>
  <c r="M10" i="2"/>
  <c r="N10" i="2"/>
  <c r="K11" i="2"/>
  <c r="L11" i="2"/>
  <c r="M11" i="2"/>
  <c r="N11" i="2"/>
  <c r="K12" i="2"/>
  <c r="L12" i="2"/>
  <c r="M12" i="2"/>
  <c r="N12" i="2"/>
  <c r="J3" i="2"/>
  <c r="J4" i="2"/>
  <c r="J5" i="2"/>
  <c r="J6" i="2"/>
  <c r="J7" i="2"/>
  <c r="J8" i="2"/>
  <c r="J9" i="2"/>
  <c r="J10" i="2"/>
  <c r="J11" i="2"/>
  <c r="J12" i="2"/>
  <c r="J2" i="2"/>
</calcChain>
</file>

<file path=xl/sharedStrings.xml><?xml version="1.0" encoding="utf-8"?>
<sst xmlns="http://schemas.openxmlformats.org/spreadsheetml/2006/main" count="65" uniqueCount="39">
  <si>
    <t>Label</t>
  </si>
  <si>
    <t>Actual MTD_Extracted</t>
  </si>
  <si>
    <t>Budget MTD_Extracted</t>
  </si>
  <si>
    <t>Variance MTD_Extracted</t>
  </si>
  <si>
    <t>Variance % MTD_Extracted</t>
  </si>
  <si>
    <t>Actual MTD_Report</t>
  </si>
  <si>
    <t>Budget MTD_Report</t>
  </si>
  <si>
    <t>Variance MTD_Report</t>
  </si>
  <si>
    <t>Variance % MTD_Report</t>
  </si>
  <si>
    <t>MTD_Actual_Match</t>
  </si>
  <si>
    <t>MTD_Budget_Match</t>
  </si>
  <si>
    <t>MTD_Variance_Match</t>
  </si>
  <si>
    <t>MTD_Variance%_Match</t>
  </si>
  <si>
    <t>MTD_Overall_Match</t>
  </si>
  <si>
    <t>Net Operating Income</t>
  </si>
  <si>
    <t>Non Operating Expenses</t>
  </si>
  <si>
    <t>Other Expenses</t>
  </si>
  <si>
    <t>Other Income</t>
  </si>
  <si>
    <t>Rental Income</t>
  </si>
  <si>
    <t>Tenant Recharge Income</t>
  </si>
  <si>
    <t>Total Capital Expenditures</t>
  </si>
  <si>
    <t>Total Expenses</t>
  </si>
  <si>
    <t>Total Income</t>
  </si>
  <si>
    <t>Total Non Recoverable</t>
  </si>
  <si>
    <t>Total Outgoing Expenses</t>
  </si>
  <si>
    <t>Actual YTD_Extracted</t>
  </si>
  <si>
    <t>Budget YTD_Extracted</t>
  </si>
  <si>
    <t>Variance YTD_Extracted</t>
  </si>
  <si>
    <t>Variance % YTD_Extracted</t>
  </si>
  <si>
    <t>Actual YTD_Report</t>
  </si>
  <si>
    <t>Budget YTD_Report</t>
  </si>
  <si>
    <t>Variance YTD_Report</t>
  </si>
  <si>
    <t>Variance % YTD_Report</t>
  </si>
  <si>
    <t>YTD_Actual_Match</t>
  </si>
  <si>
    <t>YTD_Budget_Match</t>
  </si>
  <si>
    <t>YTD_Variance_Match</t>
  </si>
  <si>
    <t>YTD_Variance%_Match</t>
  </si>
  <si>
    <t>YTD_Overall_Match</t>
  </si>
  <si>
    <t>Final_Result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</si>
</sst>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/>
  </sheetViews>
  <sheetFormatPr defaultRowHeight="14.4" x14ac:dyDescent="0.3"/>
  <cols>
    <col min="1" max="1" width="22.5546875" bestFit="1" customWidth="1"/>
    <col min="2" max="2" width="19.88671875" bestFit="1" customWidth="1"/>
    <col min="3" max="3" width="20.5546875" bestFit="1" customWidth="1"/>
    <col min="4" max="4" width="22" bestFit="1" customWidth="1"/>
    <col min="5" max="5" width="23.88671875" bestFit="1" customWidth="1"/>
    <col min="6" max="6" width="17.6640625" bestFit="1" customWidth="1"/>
    <col min="7" max="7" width="18.33203125" bestFit="1" customWidth="1"/>
    <col min="8" max="8" width="19.6640625" bestFit="1" customWidth="1"/>
    <col min="9" max="9" width="21.6640625" bestFit="1" customWidth="1"/>
    <col min="10" max="10" width="18" bestFit="1" customWidth="1"/>
    <col min="11" max="11" width="18.6640625" bestFit="1" customWidth="1"/>
    <col min="12" max="12" width="20" bestFit="1" customWidth="1"/>
    <col min="13" max="13" width="21.5546875" bestFit="1" customWidth="1"/>
    <col min="14" max="14" width="18.55468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3">
        <v>1715486.05</v>
      </c>
      <c r="C2">
        <v>1865274.11</v>
      </c>
      <c r="D2">
        <v>-149788.06</v>
      </c>
      <c r="E2">
        <v>-8.0299999999999994</v>
      </c>
      <c r="F2" s="3">
        <v>1715497.7</v>
      </c>
      <c r="H2" s="2">
        <v>-149776.41</v>
      </c>
      <c r="I2" s="4">
        <v>-8.0299999999999994</v>
      </c>
      <c r="J2" t="str">
        <f>IF(B2=F2, "TRUE", "FALSE")</f>
        <v>FALSE</v>
      </c>
      <c r="K2" t="str">
        <f t="shared" ref="K2:N12" si="0">IF(C2=G2, "TRUE", "FALSE")</f>
        <v>FALSE</v>
      </c>
      <c r="L2" t="str">
        <f t="shared" si="0"/>
        <v>FALSE</v>
      </c>
      <c r="M2" t="str">
        <f t="shared" si="0"/>
        <v>TRUE</v>
      </c>
      <c r="N2" t="str">
        <f t="shared" si="0"/>
        <v>FALSE</v>
      </c>
    </row>
    <row r="3" spans="1:14" x14ac:dyDescent="0.3">
      <c r="A3" t="s">
        <v>15</v>
      </c>
      <c r="B3" s="3">
        <v>733583.64</v>
      </c>
      <c r="C3">
        <v>146429</v>
      </c>
      <c r="D3">
        <v>-587154.64</v>
      </c>
      <c r="E3">
        <v>-400.98</v>
      </c>
      <c r="F3" s="3">
        <v>733583.64</v>
      </c>
      <c r="H3" s="2">
        <v>-587154.64</v>
      </c>
      <c r="I3" s="4">
        <v>-400.98</v>
      </c>
      <c r="J3" t="str">
        <f t="shared" ref="J3:J12" si="1">IF(B3=F3, "TRUE", "FALSE")</f>
        <v>TRUE</v>
      </c>
      <c r="K3" t="str">
        <f t="shared" si="0"/>
        <v>FALSE</v>
      </c>
      <c r="L3" t="str">
        <f t="shared" si="0"/>
        <v>TRUE</v>
      </c>
      <c r="M3" t="str">
        <f t="shared" si="0"/>
        <v>TRUE</v>
      </c>
      <c r="N3" t="str">
        <f t="shared" si="0"/>
        <v>FALSE</v>
      </c>
    </row>
    <row r="4" spans="1:14" x14ac:dyDescent="0.3">
      <c r="A4" t="s">
        <v>16</v>
      </c>
      <c r="B4" s="3">
        <v>441000.86</v>
      </c>
      <c r="C4">
        <v>0</v>
      </c>
      <c r="D4">
        <v>441000.86</v>
      </c>
      <c r="E4">
        <v>0</v>
      </c>
      <c r="F4" s="3">
        <v>441000.86</v>
      </c>
      <c r="H4" s="2">
        <v>441000.86</v>
      </c>
      <c r="I4" s="4">
        <v>0</v>
      </c>
      <c r="J4" t="str">
        <f t="shared" si="1"/>
        <v>TRUE</v>
      </c>
      <c r="K4" t="str">
        <f t="shared" si="0"/>
        <v>TRUE</v>
      </c>
      <c r="L4" t="str">
        <f t="shared" si="0"/>
        <v>TRUE</v>
      </c>
      <c r="M4" t="str">
        <f t="shared" si="0"/>
        <v>TRUE</v>
      </c>
      <c r="N4" t="str">
        <f t="shared" si="0"/>
        <v>FALSE</v>
      </c>
    </row>
    <row r="5" spans="1:14" x14ac:dyDescent="0.3">
      <c r="A5" t="s">
        <v>17</v>
      </c>
      <c r="B5" s="3">
        <v>1635616.78</v>
      </c>
      <c r="C5">
        <v>557883</v>
      </c>
      <c r="D5">
        <v>1077733.78</v>
      </c>
      <c r="E5">
        <v>193.18</v>
      </c>
      <c r="F5" s="3">
        <v>1635616.78</v>
      </c>
      <c r="H5" s="2">
        <v>1077733.78</v>
      </c>
      <c r="I5" s="4">
        <v>193.18</v>
      </c>
      <c r="J5" t="str">
        <f t="shared" si="1"/>
        <v>TRUE</v>
      </c>
      <c r="K5" t="str">
        <f t="shared" si="0"/>
        <v>FALSE</v>
      </c>
      <c r="L5" t="str">
        <f t="shared" si="0"/>
        <v>TRUE</v>
      </c>
      <c r="M5" t="str">
        <f t="shared" si="0"/>
        <v>TRUE</v>
      </c>
      <c r="N5" t="str">
        <f t="shared" si="0"/>
        <v>FALSE</v>
      </c>
    </row>
    <row r="6" spans="1:14" x14ac:dyDescent="0.3">
      <c r="A6" t="s">
        <v>18</v>
      </c>
      <c r="B6" s="3">
        <v>7007009.4199999999</v>
      </c>
      <c r="C6">
        <v>2217662</v>
      </c>
      <c r="D6">
        <v>4789347.42</v>
      </c>
      <c r="E6">
        <v>215.96</v>
      </c>
      <c r="F6" s="3">
        <v>7007009.4199999999</v>
      </c>
      <c r="H6" s="2">
        <v>4789347.42</v>
      </c>
      <c r="I6" s="4">
        <v>215.96</v>
      </c>
      <c r="J6" t="str">
        <f t="shared" si="1"/>
        <v>TRUE</v>
      </c>
      <c r="K6" t="str">
        <f t="shared" si="0"/>
        <v>FALSE</v>
      </c>
      <c r="L6" t="str">
        <f t="shared" si="0"/>
        <v>TRUE</v>
      </c>
      <c r="M6" t="str">
        <f t="shared" si="0"/>
        <v>TRUE</v>
      </c>
      <c r="N6" t="str">
        <f t="shared" si="0"/>
        <v>FALSE</v>
      </c>
    </row>
    <row r="7" spans="1:14" x14ac:dyDescent="0.3">
      <c r="A7" t="s">
        <v>19</v>
      </c>
      <c r="B7" s="3">
        <v>634765.56000000006</v>
      </c>
      <c r="C7">
        <v>189480</v>
      </c>
      <c r="D7">
        <v>445285.56</v>
      </c>
      <c r="E7">
        <v>235</v>
      </c>
      <c r="F7" s="3">
        <v>634765.56000000006</v>
      </c>
      <c r="H7" s="2">
        <v>445285.56</v>
      </c>
      <c r="I7" s="4">
        <v>235</v>
      </c>
      <c r="J7" t="str">
        <f t="shared" si="1"/>
        <v>TRUE</v>
      </c>
      <c r="K7" t="str">
        <f t="shared" si="0"/>
        <v>FALSE</v>
      </c>
      <c r="L7" t="str">
        <f t="shared" si="0"/>
        <v>TRUE</v>
      </c>
      <c r="M7" t="str">
        <f t="shared" si="0"/>
        <v>TRUE</v>
      </c>
      <c r="N7" t="str">
        <f t="shared" si="0"/>
        <v>FALSE</v>
      </c>
    </row>
    <row r="8" spans="1:14" x14ac:dyDescent="0.3">
      <c r="A8" t="s">
        <v>20</v>
      </c>
      <c r="B8" s="3">
        <v>2370834.94</v>
      </c>
      <c r="C8">
        <v>572905</v>
      </c>
      <c r="D8">
        <v>-1797929.94</v>
      </c>
      <c r="E8">
        <v>-313.83</v>
      </c>
      <c r="F8" s="3">
        <v>2370834.94</v>
      </c>
      <c r="H8" s="2">
        <v>-1797929.94</v>
      </c>
      <c r="I8" s="4">
        <v>-313.83</v>
      </c>
      <c r="J8" t="str">
        <f t="shared" si="1"/>
        <v>TRUE</v>
      </c>
      <c r="K8" t="str">
        <f t="shared" si="0"/>
        <v>FALSE</v>
      </c>
      <c r="L8" t="str">
        <f t="shared" si="0"/>
        <v>TRUE</v>
      </c>
      <c r="M8" t="str">
        <f t="shared" si="0"/>
        <v>TRUE</v>
      </c>
      <c r="N8" t="str">
        <f t="shared" si="0"/>
        <v>FALSE</v>
      </c>
    </row>
    <row r="9" spans="1:14" x14ac:dyDescent="0.3">
      <c r="A9" t="s">
        <v>21</v>
      </c>
      <c r="B9" s="3">
        <v>7561905.71</v>
      </c>
      <c r="C9">
        <v>1099750.8899999999</v>
      </c>
      <c r="D9">
        <v>-6462154.8200000003</v>
      </c>
      <c r="E9">
        <v>-587.6</v>
      </c>
      <c r="F9" s="3">
        <v>7561894.0599999996</v>
      </c>
      <c r="H9" s="2">
        <v>-6462143.1699999999</v>
      </c>
      <c r="I9" s="4">
        <v>-587.6</v>
      </c>
      <c r="J9" t="str">
        <f t="shared" si="1"/>
        <v>FALSE</v>
      </c>
      <c r="K9" t="str">
        <f t="shared" si="0"/>
        <v>FALSE</v>
      </c>
      <c r="L9" t="str">
        <f t="shared" si="0"/>
        <v>FALSE</v>
      </c>
      <c r="M9" t="str">
        <f t="shared" si="0"/>
        <v>TRUE</v>
      </c>
      <c r="N9" t="str">
        <f t="shared" si="0"/>
        <v>FALSE</v>
      </c>
    </row>
    <row r="10" spans="1:14" x14ac:dyDescent="0.3">
      <c r="A10" t="s">
        <v>22</v>
      </c>
      <c r="B10" s="3">
        <v>9277391.7599999998</v>
      </c>
      <c r="C10">
        <v>2965025</v>
      </c>
      <c r="D10">
        <v>6312366.7599999998</v>
      </c>
      <c r="E10">
        <v>212.89</v>
      </c>
      <c r="F10" s="3">
        <v>9277391.7599999998</v>
      </c>
      <c r="H10" s="2">
        <v>6312366.7599999998</v>
      </c>
      <c r="I10" s="4">
        <v>212.89</v>
      </c>
      <c r="J10" t="str">
        <f t="shared" si="1"/>
        <v>TRUE</v>
      </c>
      <c r="K10" t="str">
        <f t="shared" si="0"/>
        <v>FALSE</v>
      </c>
      <c r="L10" t="str">
        <f t="shared" si="0"/>
        <v>TRUE</v>
      </c>
      <c r="M10" t="str">
        <f t="shared" si="0"/>
        <v>TRUE</v>
      </c>
      <c r="N10" t="str">
        <f t="shared" si="0"/>
        <v>FALSE</v>
      </c>
    </row>
    <row r="11" spans="1:14" x14ac:dyDescent="0.3">
      <c r="A11" t="s">
        <v>23</v>
      </c>
      <c r="B11" s="3">
        <v>942493.98</v>
      </c>
      <c r="C11">
        <v>246939.46</v>
      </c>
      <c r="D11">
        <v>-695554.52</v>
      </c>
      <c r="E11">
        <v>-281.67</v>
      </c>
      <c r="F11" s="3">
        <v>942484.24</v>
      </c>
      <c r="H11" s="2">
        <v>-695544.78</v>
      </c>
      <c r="I11" s="4">
        <v>-281.67</v>
      </c>
      <c r="J11" t="str">
        <f t="shared" si="1"/>
        <v>FALSE</v>
      </c>
      <c r="K11" t="str">
        <f t="shared" si="0"/>
        <v>FALSE</v>
      </c>
      <c r="L11" t="str">
        <f t="shared" si="0"/>
        <v>FALSE</v>
      </c>
      <c r="M11" t="str">
        <f t="shared" si="0"/>
        <v>TRUE</v>
      </c>
      <c r="N11" t="str">
        <f t="shared" si="0"/>
        <v>FALSE</v>
      </c>
    </row>
    <row r="12" spans="1:14" x14ac:dyDescent="0.3">
      <c r="A12" t="s">
        <v>24</v>
      </c>
      <c r="B12" s="3">
        <v>5885828.0899999999</v>
      </c>
      <c r="C12">
        <v>706382.43</v>
      </c>
      <c r="D12">
        <v>-5179445.66</v>
      </c>
      <c r="E12">
        <v>-733.24</v>
      </c>
      <c r="F12" s="3">
        <v>5885826.1799999997</v>
      </c>
      <c r="H12" s="2">
        <v>-5179443.75</v>
      </c>
      <c r="I12" s="4">
        <v>-733.24</v>
      </c>
      <c r="J12" t="str">
        <f t="shared" si="1"/>
        <v>FALSE</v>
      </c>
      <c r="K12" t="str">
        <f t="shared" si="0"/>
        <v>FALSE</v>
      </c>
      <c r="L12" t="str">
        <f t="shared" si="0"/>
        <v>FALSE</v>
      </c>
      <c r="M12" t="str">
        <f t="shared" si="0"/>
        <v>TRUE</v>
      </c>
      <c r="N12" t="str">
        <f t="shared" si="0"/>
        <v>FALSE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"/>
  <sheetViews>
    <sheetView workbookViewId="0"/>
  </sheetViews>
  <sheetFormatPr defaultRowHeight="14.4" x14ac:dyDescent="0.3"/>
  <cols>
    <col min="1" max="1" width="22.5546875" bestFit="1" customWidth="1"/>
    <col min="2" max="2" width="19.109375" bestFit="1" customWidth="1"/>
    <col min="3" max="3" width="19.77734375" bestFit="1" customWidth="1"/>
    <col min="4" max="4" width="21.109375" bestFit="1" customWidth="1"/>
    <col min="5" max="5" width="23.109375" bestFit="1" customWidth="1"/>
    <col min="6" max="6" width="16.77734375" bestFit="1" customWidth="1"/>
    <col min="7" max="7" width="17.5546875" bestFit="1" customWidth="1"/>
    <col min="8" max="8" width="18.88671875" bestFit="1" customWidth="1"/>
    <col min="9" max="9" width="20.77734375" bestFit="1" customWidth="1"/>
    <col min="10" max="10" width="17.21875" bestFit="1" customWidth="1"/>
    <col min="11" max="11" width="17.88671875" bestFit="1" customWidth="1"/>
    <col min="12" max="12" width="19.21875" bestFit="1" customWidth="1"/>
    <col min="13" max="13" width="20.6640625" bestFit="1" customWidth="1"/>
    <col min="14" max="14" width="17.77734375" bestFit="1" customWidth="1"/>
  </cols>
  <sheetData>
    <row r="1" spans="1:14" x14ac:dyDescent="0.3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</row>
    <row r="2" spans="1:14" x14ac:dyDescent="0.3">
      <c r="A2" t="s">
        <v>14</v>
      </c>
      <c r="B2">
        <v>8340731.7800000003</v>
      </c>
      <c r="C2">
        <v>3666408.22</v>
      </c>
      <c r="D2">
        <v>4674323.5599999996</v>
      </c>
      <c r="E2">
        <v>127.49</v>
      </c>
      <c r="F2" s="2">
        <v>8340755.0800000001</v>
      </c>
      <c r="G2" s="2">
        <v>3666408.22</v>
      </c>
      <c r="H2" s="2">
        <v>4674346.8600000003</v>
      </c>
      <c r="I2" s="2">
        <v>127.49</v>
      </c>
      <c r="J2" t="str">
        <f>IF(B2=F2, "TRUE", "FALSE")</f>
        <v>FALSE</v>
      </c>
      <c r="K2" t="str">
        <f t="shared" ref="K2:N12" si="0">IF(C2=G2, "TRUE", "FALSE")</f>
        <v>TRUE</v>
      </c>
      <c r="L2" t="str">
        <f t="shared" si="0"/>
        <v>FALSE</v>
      </c>
      <c r="M2" t="str">
        <f t="shared" si="0"/>
        <v>TRUE</v>
      </c>
      <c r="N2" t="str">
        <f t="shared" si="0"/>
        <v>FALSE</v>
      </c>
    </row>
    <row r="3" spans="1:14" x14ac:dyDescent="0.3">
      <c r="A3" t="s">
        <v>15</v>
      </c>
      <c r="B3">
        <v>1080394.3</v>
      </c>
      <c r="C3">
        <v>280420</v>
      </c>
      <c r="D3">
        <v>-799974.3</v>
      </c>
      <c r="E3">
        <v>-285.27999999999997</v>
      </c>
      <c r="F3" s="2">
        <v>1080394.3</v>
      </c>
      <c r="G3" s="2">
        <v>280420</v>
      </c>
      <c r="H3" s="2">
        <v>-799974.3</v>
      </c>
      <c r="I3" s="2">
        <v>-285.27999999999997</v>
      </c>
      <c r="J3" t="str">
        <f t="shared" ref="J3:J12" si="1">IF(B3=F3, "TRUE", "FALSE")</f>
        <v>TRUE</v>
      </c>
      <c r="K3" t="str">
        <f t="shared" si="0"/>
        <v>TRUE</v>
      </c>
      <c r="L3" t="str">
        <f t="shared" si="0"/>
        <v>TRUE</v>
      </c>
      <c r="M3" t="str">
        <f t="shared" si="0"/>
        <v>TRUE</v>
      </c>
      <c r="N3" t="str">
        <f t="shared" si="0"/>
        <v>FALSE</v>
      </c>
    </row>
    <row r="4" spans="1:14" x14ac:dyDescent="0.3">
      <c r="A4" t="s">
        <v>16</v>
      </c>
      <c r="B4">
        <v>884872.66</v>
      </c>
      <c r="C4">
        <v>0</v>
      </c>
      <c r="D4">
        <v>884872.66</v>
      </c>
      <c r="E4">
        <v>0</v>
      </c>
      <c r="F4" s="2">
        <v>884872.66</v>
      </c>
      <c r="G4" s="2"/>
      <c r="H4" s="2">
        <v>884872.66</v>
      </c>
      <c r="I4" s="2">
        <v>0</v>
      </c>
      <c r="J4" t="str">
        <f t="shared" si="1"/>
        <v>TRUE</v>
      </c>
      <c r="K4" t="str">
        <f t="shared" si="0"/>
        <v>TRUE</v>
      </c>
      <c r="L4" t="str">
        <f t="shared" si="0"/>
        <v>TRUE</v>
      </c>
      <c r="M4" t="str">
        <f t="shared" si="0"/>
        <v>TRUE</v>
      </c>
      <c r="N4" t="str">
        <f t="shared" si="0"/>
        <v>FALSE</v>
      </c>
    </row>
    <row r="5" spans="1:14" x14ac:dyDescent="0.3">
      <c r="A5" t="s">
        <v>17</v>
      </c>
      <c r="B5">
        <v>3333852.1</v>
      </c>
      <c r="C5">
        <v>1117300</v>
      </c>
      <c r="D5">
        <v>2216552.1</v>
      </c>
      <c r="E5">
        <v>198.38</v>
      </c>
      <c r="F5" s="2">
        <v>3333852.1</v>
      </c>
      <c r="G5" s="2">
        <v>1117300</v>
      </c>
      <c r="H5" s="2">
        <v>2216552.1</v>
      </c>
      <c r="I5" s="2">
        <v>198.38</v>
      </c>
      <c r="J5" t="str">
        <f t="shared" si="1"/>
        <v>TRUE</v>
      </c>
      <c r="K5" t="str">
        <f t="shared" si="0"/>
        <v>TRUE</v>
      </c>
      <c r="L5" t="str">
        <f t="shared" si="0"/>
        <v>TRUE</v>
      </c>
      <c r="M5" t="str">
        <f t="shared" si="0"/>
        <v>TRUE</v>
      </c>
      <c r="N5" t="str">
        <f t="shared" si="0"/>
        <v>FALSE</v>
      </c>
    </row>
    <row r="6" spans="1:14" x14ac:dyDescent="0.3">
      <c r="A6" t="s">
        <v>18</v>
      </c>
      <c r="B6">
        <v>14229769.869999999</v>
      </c>
      <c r="C6">
        <v>4333395</v>
      </c>
      <c r="D6">
        <v>9896374.8699999992</v>
      </c>
      <c r="E6">
        <v>228.37</v>
      </c>
      <c r="F6" s="2">
        <v>14229769.869999999</v>
      </c>
      <c r="G6" s="2">
        <v>4333395</v>
      </c>
      <c r="H6" s="2">
        <v>9896374.8699999992</v>
      </c>
      <c r="I6" s="2">
        <v>228.37</v>
      </c>
      <c r="J6" t="str">
        <f t="shared" si="1"/>
        <v>TRUE</v>
      </c>
      <c r="K6" t="str">
        <f t="shared" si="0"/>
        <v>TRUE</v>
      </c>
      <c r="L6" t="str">
        <f t="shared" si="0"/>
        <v>TRUE</v>
      </c>
      <c r="M6" t="str">
        <f t="shared" si="0"/>
        <v>TRUE</v>
      </c>
      <c r="N6" t="str">
        <f t="shared" si="0"/>
        <v>FALSE</v>
      </c>
    </row>
    <row r="7" spans="1:14" x14ac:dyDescent="0.3">
      <c r="A7" t="s">
        <v>19</v>
      </c>
      <c r="B7">
        <v>1196439.3799999999</v>
      </c>
      <c r="C7">
        <v>368362</v>
      </c>
      <c r="D7">
        <v>828077.38</v>
      </c>
      <c r="E7">
        <v>224.8</v>
      </c>
      <c r="F7" s="2">
        <v>1196439.3799999999</v>
      </c>
      <c r="G7" s="2">
        <v>368362</v>
      </c>
      <c r="H7" s="2">
        <v>828077.38</v>
      </c>
      <c r="I7" s="2">
        <v>224.8</v>
      </c>
      <c r="J7" t="str">
        <f t="shared" si="1"/>
        <v>TRUE</v>
      </c>
      <c r="K7" t="str">
        <f t="shared" si="0"/>
        <v>TRUE</v>
      </c>
      <c r="L7" t="str">
        <f t="shared" si="0"/>
        <v>TRUE</v>
      </c>
      <c r="M7" t="str">
        <f t="shared" si="0"/>
        <v>TRUE</v>
      </c>
      <c r="N7" t="str">
        <f t="shared" si="0"/>
        <v>FALSE</v>
      </c>
    </row>
    <row r="8" spans="1:14" x14ac:dyDescent="0.3">
      <c r="A8" t="s">
        <v>20</v>
      </c>
      <c r="B8">
        <v>2865146.52</v>
      </c>
      <c r="C8">
        <v>1339875</v>
      </c>
      <c r="D8">
        <v>-1525271.52</v>
      </c>
      <c r="E8">
        <v>-113.84</v>
      </c>
      <c r="F8" s="2">
        <v>2865146.52</v>
      </c>
      <c r="G8" s="2">
        <v>1339875</v>
      </c>
      <c r="H8" s="2">
        <v>-1525271.52</v>
      </c>
      <c r="I8" s="2">
        <v>-113.84</v>
      </c>
      <c r="J8" t="str">
        <f t="shared" si="1"/>
        <v>TRUE</v>
      </c>
      <c r="K8" t="str">
        <f t="shared" si="0"/>
        <v>TRUE</v>
      </c>
      <c r="L8" t="str">
        <f t="shared" si="0"/>
        <v>TRUE</v>
      </c>
      <c r="M8" t="str">
        <f t="shared" si="0"/>
        <v>TRUE</v>
      </c>
      <c r="N8" t="str">
        <f t="shared" si="0"/>
        <v>FALSE</v>
      </c>
    </row>
    <row r="9" spans="1:14" x14ac:dyDescent="0.3">
      <c r="A9" t="s">
        <v>21</v>
      </c>
      <c r="B9">
        <v>10419329.57</v>
      </c>
      <c r="C9">
        <v>2152648.7799999998</v>
      </c>
      <c r="D9">
        <v>-8266680.79</v>
      </c>
      <c r="E9">
        <v>-384.02</v>
      </c>
      <c r="F9" s="2">
        <v>10419306.27</v>
      </c>
      <c r="G9" s="2">
        <v>2152648.7799999998</v>
      </c>
      <c r="H9" s="2">
        <v>-8266657.4900000002</v>
      </c>
      <c r="I9" s="2">
        <v>-384.02</v>
      </c>
      <c r="J9" t="str">
        <f t="shared" si="1"/>
        <v>FALSE</v>
      </c>
      <c r="K9" t="str">
        <f t="shared" si="0"/>
        <v>TRUE</v>
      </c>
      <c r="L9" t="str">
        <f t="shared" si="0"/>
        <v>FALSE</v>
      </c>
      <c r="M9" t="str">
        <f t="shared" si="0"/>
        <v>TRUE</v>
      </c>
      <c r="N9" t="str">
        <f t="shared" si="0"/>
        <v>FALSE</v>
      </c>
    </row>
    <row r="10" spans="1:14" x14ac:dyDescent="0.3">
      <c r="A10" t="s">
        <v>22</v>
      </c>
      <c r="B10">
        <v>18760061.350000001</v>
      </c>
      <c r="C10">
        <v>5819057</v>
      </c>
      <c r="D10">
        <v>12941004.35</v>
      </c>
      <c r="E10">
        <v>222.39</v>
      </c>
      <c r="F10" s="2">
        <v>18760061.350000001</v>
      </c>
      <c r="G10" s="2">
        <v>5819057</v>
      </c>
      <c r="H10" s="2">
        <v>12941004.35</v>
      </c>
      <c r="I10" s="2">
        <v>222.39</v>
      </c>
      <c r="J10" t="str">
        <f t="shared" si="1"/>
        <v>TRUE</v>
      </c>
      <c r="K10" t="str">
        <f t="shared" si="0"/>
        <v>TRUE</v>
      </c>
      <c r="L10" t="str">
        <f t="shared" si="0"/>
        <v>TRUE</v>
      </c>
      <c r="M10" t="str">
        <f t="shared" si="0"/>
        <v>TRUE</v>
      </c>
      <c r="N10" t="str">
        <f t="shared" si="0"/>
        <v>FALSE</v>
      </c>
    </row>
    <row r="11" spans="1:14" x14ac:dyDescent="0.3">
      <c r="A11" t="s">
        <v>23</v>
      </c>
      <c r="B11">
        <v>1509457.79</v>
      </c>
      <c r="C11">
        <v>493878.92</v>
      </c>
      <c r="D11">
        <v>-1015578.87</v>
      </c>
      <c r="E11">
        <v>-205.63</v>
      </c>
      <c r="F11" s="2">
        <v>1509438.31</v>
      </c>
      <c r="G11" s="2">
        <v>493878.92</v>
      </c>
      <c r="H11" s="2">
        <v>-1015559.39</v>
      </c>
      <c r="I11" s="2">
        <v>-205.63</v>
      </c>
      <c r="J11" t="str">
        <f t="shared" si="1"/>
        <v>FALSE</v>
      </c>
      <c r="K11" t="str">
        <f t="shared" si="0"/>
        <v>TRUE</v>
      </c>
      <c r="L11" t="str">
        <f t="shared" si="0"/>
        <v>FALSE</v>
      </c>
      <c r="M11" t="str">
        <f t="shared" si="0"/>
        <v>TRUE</v>
      </c>
      <c r="N11" t="str">
        <f t="shared" si="0"/>
        <v>FALSE</v>
      </c>
    </row>
    <row r="12" spans="1:14" x14ac:dyDescent="0.3">
      <c r="A12" t="s">
        <v>24</v>
      </c>
      <c r="B12">
        <v>7829477.4800000004</v>
      </c>
      <c r="C12">
        <v>1378349.86</v>
      </c>
      <c r="D12">
        <v>-6451127.6200000001</v>
      </c>
      <c r="E12">
        <v>-468.03</v>
      </c>
      <c r="F12" s="2">
        <v>7829473.6600000001</v>
      </c>
      <c r="G12" s="2">
        <v>1378349.86</v>
      </c>
      <c r="H12" s="2">
        <v>-6451123.7999999998</v>
      </c>
      <c r="I12" s="2">
        <v>-468.03</v>
      </c>
      <c r="J12" t="str">
        <f t="shared" si="1"/>
        <v>FALSE</v>
      </c>
      <c r="K12" t="str">
        <f t="shared" si="0"/>
        <v>TRUE</v>
      </c>
      <c r="L12" t="str">
        <f t="shared" si="0"/>
        <v>FALSE</v>
      </c>
      <c r="M12" t="str">
        <f t="shared" si="0"/>
        <v>TRUE</v>
      </c>
      <c r="N12" t="str">
        <f t="shared" si="0"/>
        <v>FALSE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13</v>
      </c>
      <c r="C1" s="1" t="s">
        <v>37</v>
      </c>
      <c r="D1" s="1" t="s">
        <v>38</v>
      </c>
    </row>
    <row r="2" spans="1:4" x14ac:dyDescent="0.3">
      <c r="A2" t="s">
        <v>14</v>
      </c>
      <c r="B2" t="b">
        <v>0</v>
      </c>
      <c r="C2" t="b">
        <v>0</v>
      </c>
      <c r="D2" t="b">
        <v>0</v>
      </c>
    </row>
    <row r="3" spans="1:4" x14ac:dyDescent="0.3">
      <c r="A3" t="s">
        <v>15</v>
      </c>
      <c r="B3" t="b">
        <v>0</v>
      </c>
      <c r="C3" t="b">
        <v>0</v>
      </c>
      <c r="D3" t="b">
        <v>0</v>
      </c>
    </row>
    <row r="4" spans="1:4" x14ac:dyDescent="0.3">
      <c r="A4" t="s">
        <v>16</v>
      </c>
      <c r="B4" t="b">
        <v>0</v>
      </c>
      <c r="C4" t="b">
        <v>0</v>
      </c>
      <c r="D4" t="b">
        <v>0</v>
      </c>
    </row>
    <row r="5" spans="1:4" x14ac:dyDescent="0.3">
      <c r="A5" t="s">
        <v>17</v>
      </c>
      <c r="B5" t="b">
        <v>0</v>
      </c>
      <c r="C5" t="b">
        <v>0</v>
      </c>
      <c r="D5" t="b">
        <v>0</v>
      </c>
    </row>
    <row r="6" spans="1:4" x14ac:dyDescent="0.3">
      <c r="A6" t="s">
        <v>18</v>
      </c>
      <c r="B6" t="b">
        <v>0</v>
      </c>
      <c r="C6" t="b">
        <v>0</v>
      </c>
      <c r="D6" t="b">
        <v>0</v>
      </c>
    </row>
    <row r="7" spans="1:4" x14ac:dyDescent="0.3">
      <c r="A7" t="s">
        <v>19</v>
      </c>
      <c r="B7" t="b">
        <v>0</v>
      </c>
      <c r="C7" t="b">
        <v>0</v>
      </c>
      <c r="D7" t="b">
        <v>0</v>
      </c>
    </row>
    <row r="8" spans="1:4" x14ac:dyDescent="0.3">
      <c r="A8" t="s">
        <v>20</v>
      </c>
      <c r="B8" t="b">
        <v>0</v>
      </c>
      <c r="C8" t="b">
        <v>0</v>
      </c>
      <c r="D8" t="b">
        <v>0</v>
      </c>
    </row>
    <row r="9" spans="1:4" x14ac:dyDescent="0.3">
      <c r="A9" t="s">
        <v>21</v>
      </c>
      <c r="B9" t="b">
        <v>0</v>
      </c>
      <c r="C9" t="b">
        <v>0</v>
      </c>
      <c r="D9" t="b">
        <v>0</v>
      </c>
    </row>
    <row r="10" spans="1:4" x14ac:dyDescent="0.3">
      <c r="A10" t="s">
        <v>22</v>
      </c>
      <c r="B10" t="b">
        <v>0</v>
      </c>
      <c r="C10" t="b">
        <v>0</v>
      </c>
      <c r="D10" t="b">
        <v>0</v>
      </c>
    </row>
    <row r="11" spans="1:4" x14ac:dyDescent="0.3">
      <c r="A11" t="s">
        <v>23</v>
      </c>
      <c r="B11" t="b">
        <v>0</v>
      </c>
      <c r="C11" t="b">
        <v>0</v>
      </c>
      <c r="D11" t="b">
        <v>0</v>
      </c>
    </row>
    <row r="12" spans="1:4" x14ac:dyDescent="0.3">
      <c r="A12" t="s">
        <v>24</v>
      </c>
      <c r="B12" t="b">
        <v>0</v>
      </c>
      <c r="C12" t="b">
        <v>0</v>
      </c>
      <c r="D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MTD_Comparison</vt:lpstr>
      <vt:lpstr>YTD_Comparison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Darshan Singh</cp:lastModifiedBy>
  <dcterms:created xsi:type="dcterms:W3CDTF">2025-11-07T11:36:59Z</dcterms:created>
  <dcterms:modified xsi:type="dcterms:W3CDTF">2025-11-10T08:15:16Z</dcterms:modified>
</cp:coreProperties>
</file>
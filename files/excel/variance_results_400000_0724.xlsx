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8B09AA75-2948-4C28-9288-C4EC629F2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9" i="3"/>
  <c r="E8" i="3"/>
  <c r="E7" i="3"/>
  <c r="E6" i="3"/>
  <c r="E5" i="3"/>
  <c r="E11" i="2"/>
  <c r="E10" i="2"/>
  <c r="E9" i="2"/>
  <c r="E7" i="2"/>
  <c r="E6" i="2"/>
  <c r="E5" i="2"/>
</calcChain>
</file>

<file path=xl/sharedStrings.xml><?xml version="1.0" encoding="utf-8"?>
<sst xmlns="http://schemas.openxmlformats.org/spreadsheetml/2006/main" count="472" uniqueCount="132">
  <si>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</si>
  <si>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</si>
  <si>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</si>
  <si>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</si>
  <si>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</si>
  <si>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</si>
  <si>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</si>
  <si>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</si>
  <si>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6,625,245.73</t>
  </si>
  <si>
    <t>37,338,126.02</t>
  </si>
  <si>
    <t>Budget</t>
  </si>
  <si>
    <t>1,801,134.11</t>
  </si>
  <si>
    <t>nan</t>
  </si>
  <si>
    <t>Variance</t>
  </si>
  <si>
    <t>4,824,111.62</t>
  </si>
  <si>
    <t>114,103.29</t>
  </si>
  <si>
    <t>Variance %</t>
  </si>
  <si>
    <t>267.84</t>
  </si>
  <si>
    <t>0.00</t>
  </si>
  <si>
    <t>YTD</t>
  </si>
  <si>
    <t>6,625,266.25</t>
  </si>
  <si>
    <t>4,824,132.14</t>
  </si>
  <si>
    <t>2.68</t>
  </si>
  <si>
    <t>Non Operating Expenses</t>
  </si>
  <si>
    <t>346,810.66</t>
  </si>
  <si>
    <t>2,066,779.73</t>
  </si>
  <si>
    <t>133,991.00</t>
  </si>
  <si>
    <t>-212,819.66</t>
  </si>
  <si>
    <t>-240,999.32</t>
  </si>
  <si>
    <t>-158.83</t>
  </si>
  <si>
    <t>-0.13</t>
  </si>
  <si>
    <t>-1.59</t>
  </si>
  <si>
    <t>Other Expenses</t>
  </si>
  <si>
    <t>443,871.80</t>
  </si>
  <si>
    <t>4,155,493.58</t>
  </si>
  <si>
    <t>Other Income</t>
  </si>
  <si>
    <t>1,698,235.32</t>
  </si>
  <si>
    <t>9,784,111.27</t>
  </si>
  <si>
    <t>559,417.00</t>
  </si>
  <si>
    <t>1,138,818.32</t>
  </si>
  <si>
    <t>322,614.81</t>
  </si>
  <si>
    <t>203.57</t>
  </si>
  <si>
    <t>0.03</t>
  </si>
  <si>
    <t>2.04</t>
  </si>
  <si>
    <t>Rental Income</t>
  </si>
  <si>
    <t>7,222,760.45</t>
  </si>
  <si>
    <t>49,453,791.85</t>
  </si>
  <si>
    <t>2,115,733.00</t>
  </si>
  <si>
    <t>5,107,027.45</t>
  </si>
  <si>
    <t>-289,923.54</t>
  </si>
  <si>
    <t>241.38</t>
  </si>
  <si>
    <t>-0.01</t>
  </si>
  <si>
    <t>2.41</t>
  </si>
  <si>
    <t>Tenant Recharge Income</t>
  </si>
  <si>
    <t>561,673.82</t>
  </si>
  <si>
    <t>2,577,272.38</t>
  </si>
  <si>
    <t>178,882.00</t>
  </si>
  <si>
    <t>382,791.82</t>
  </si>
  <si>
    <t>151,132.69</t>
  </si>
  <si>
    <t>213.99</t>
  </si>
  <si>
    <t>0.06</t>
  </si>
  <si>
    <t>2.14</t>
  </si>
  <si>
    <t>Total Capital Expenditures</t>
  </si>
  <si>
    <t>494,311.58</t>
  </si>
  <si>
    <t>-8,391,269.34</t>
  </si>
  <si>
    <t>766,970.00</t>
  </si>
  <si>
    <t>272,658.42</t>
  </si>
  <si>
    <t>13,109,241.52</t>
  </si>
  <si>
    <t>35.55</t>
  </si>
  <si>
    <t>2.78</t>
  </si>
  <si>
    <t>0.36</t>
  </si>
  <si>
    <t>Total Expenses</t>
  </si>
  <si>
    <t>2,857,423.86</t>
  </si>
  <si>
    <t>24,477,049.48</t>
  </si>
  <si>
    <t>1,052,897.89</t>
  </si>
  <si>
    <t>-1,804,525.97</t>
  </si>
  <si>
    <t>-69,720.67</t>
  </si>
  <si>
    <t>-171.39</t>
  </si>
  <si>
    <t>-0.00</t>
  </si>
  <si>
    <t>2,857,403.34</t>
  </si>
  <si>
    <t>-1,804,505.45</t>
  </si>
  <si>
    <t>-1.71</t>
  </si>
  <si>
    <t>Total Income</t>
  </si>
  <si>
    <t>9,482,669.59</t>
  </si>
  <si>
    <t>61,815,175.50</t>
  </si>
  <si>
    <t>2,854,032.00</t>
  </si>
  <si>
    <t>6,628,637.59</t>
  </si>
  <si>
    <t>183,823.96</t>
  </si>
  <si>
    <t>232.26</t>
  </si>
  <si>
    <t>2.32</t>
  </si>
  <si>
    <t>Total Non Recoverable</t>
  </si>
  <si>
    <t>566,963.81</t>
  </si>
  <si>
    <t>3,588,653.08</t>
  </si>
  <si>
    <t>246,939.46</t>
  </si>
  <si>
    <t>-320,024.35</t>
  </si>
  <si>
    <t>63,890.59</t>
  </si>
  <si>
    <t>-129.60</t>
  </si>
  <si>
    <t>0.02</t>
  </si>
  <si>
    <t>566,954.07</t>
  </si>
  <si>
    <t>-320,014.61</t>
  </si>
  <si>
    <t>-1.30</t>
  </si>
  <si>
    <t>Total Outgoing Expenses</t>
  </si>
  <si>
    <t>1,943,649.39</t>
  </si>
  <si>
    <t>18,821,616.67</t>
  </si>
  <si>
    <t>671,967.43</t>
  </si>
  <si>
    <t>-1,271,681.96</t>
  </si>
  <si>
    <t>107,388.06</t>
  </si>
  <si>
    <t>-189.25</t>
  </si>
  <si>
    <t>0.01</t>
  </si>
  <si>
    <t>1,943,638.61</t>
  </si>
  <si>
    <t>-1,271,671.18</t>
  </si>
  <si>
    <t>-1.89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</si>
  <si>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</si>
  <si>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</si>
  <si>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</si>
  <si>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</si>
  <si>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</si>
  <si>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</si>
  <si>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</si>
  <si>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</si>
  <si>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</si>
  <si>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</si>
  <si>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</si>
  <si>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</si>
  <si>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</si>
  <si>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</si>
  <si>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</si>
  <si>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</si>
  <si>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</si>
  <si>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</si>
  <si>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Period: 07/24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</si>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</sst>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130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131</v>
      </c>
    </row>
    <row r="7" spans="1:5" x14ac:dyDescent="0.3">
      <c r="A7" t="s">
        <v>10</v>
      </c>
      <c r="B7" t="s">
        <v>11</v>
      </c>
      <c r="C7" t="s">
        <v>12</v>
      </c>
      <c r="E7" s="3" t="s">
        <v>131</v>
      </c>
    </row>
    <row r="8" spans="1:5" x14ac:dyDescent="0.3">
      <c r="A8" t="s">
        <v>13</v>
      </c>
      <c r="B8" t="s">
        <v>14</v>
      </c>
      <c r="C8" t="s">
        <v>15</v>
      </c>
      <c r="E8" s="3" t="s">
        <v>131</v>
      </c>
    </row>
    <row r="9" spans="1:5" x14ac:dyDescent="0.3">
      <c r="A9" t="s">
        <v>16</v>
      </c>
      <c r="B9" t="s">
        <v>17</v>
      </c>
      <c r="C9" t="s">
        <v>18</v>
      </c>
      <c r="E9" s="3" t="s">
        <v>131</v>
      </c>
    </row>
    <row r="10" spans="1:5" x14ac:dyDescent="0.3">
      <c r="A10" s="2" t="s">
        <v>19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8</v>
      </c>
      <c r="C12" t="s">
        <v>20</v>
      </c>
      <c r="E12" s="3" t="s">
        <v>131</v>
      </c>
    </row>
    <row r="13" spans="1:5" x14ac:dyDescent="0.3">
      <c r="A13" t="s">
        <v>10</v>
      </c>
      <c r="B13" t="s">
        <v>11</v>
      </c>
      <c r="C13" t="s">
        <v>11</v>
      </c>
      <c r="E13" t="s">
        <v>4</v>
      </c>
    </row>
    <row r="14" spans="1:5" x14ac:dyDescent="0.3">
      <c r="A14" t="s">
        <v>13</v>
      </c>
      <c r="B14" t="s">
        <v>14</v>
      </c>
      <c r="C14" t="s">
        <v>21</v>
      </c>
      <c r="E14" s="3" t="s">
        <v>131</v>
      </c>
    </row>
    <row r="15" spans="1:5" x14ac:dyDescent="0.3">
      <c r="A15" t="s">
        <v>16</v>
      </c>
      <c r="B15" t="s">
        <v>17</v>
      </c>
      <c r="C15" t="s">
        <v>22</v>
      </c>
      <c r="E15" s="3" t="s">
        <v>131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23</v>
      </c>
      <c r="D17" t="s">
        <v>23</v>
      </c>
    </row>
    <row r="18" spans="1:5" x14ac:dyDescent="0.3">
      <c r="A18" t="s">
        <v>7</v>
      </c>
      <c r="B18" t="s">
        <v>24</v>
      </c>
      <c r="C18" t="s">
        <v>25</v>
      </c>
      <c r="E18" s="3" t="s">
        <v>131</v>
      </c>
    </row>
    <row r="19" spans="1:5" x14ac:dyDescent="0.3">
      <c r="A19" t="s">
        <v>10</v>
      </c>
      <c r="B19" t="s">
        <v>26</v>
      </c>
      <c r="C19" t="s">
        <v>12</v>
      </c>
      <c r="E19" s="3" t="s">
        <v>131</v>
      </c>
    </row>
    <row r="20" spans="1:5" x14ac:dyDescent="0.3">
      <c r="A20" t="s">
        <v>13</v>
      </c>
      <c r="B20" t="s">
        <v>27</v>
      </c>
      <c r="C20" t="s">
        <v>28</v>
      </c>
      <c r="E20" s="3" t="s">
        <v>131</v>
      </c>
    </row>
    <row r="21" spans="1:5" x14ac:dyDescent="0.3">
      <c r="A21" t="s">
        <v>16</v>
      </c>
      <c r="B21" t="s">
        <v>29</v>
      </c>
      <c r="C21" t="s">
        <v>30</v>
      </c>
      <c r="E21" s="3" t="s">
        <v>131</v>
      </c>
    </row>
    <row r="22" spans="1:5" x14ac:dyDescent="0.3">
      <c r="A22" s="2" t="s">
        <v>19</v>
      </c>
      <c r="B22" s="2"/>
      <c r="C22" s="2"/>
      <c r="D22" s="2"/>
      <c r="E22" s="2"/>
    </row>
    <row r="23" spans="1:5" x14ac:dyDescent="0.3">
      <c r="A23" t="s">
        <v>23</v>
      </c>
      <c r="D23" t="s">
        <v>23</v>
      </c>
    </row>
    <row r="24" spans="1:5" x14ac:dyDescent="0.3">
      <c r="A24" t="s">
        <v>7</v>
      </c>
      <c r="B24" t="s">
        <v>24</v>
      </c>
      <c r="C24" t="s">
        <v>24</v>
      </c>
      <c r="E24" t="s">
        <v>4</v>
      </c>
    </row>
    <row r="25" spans="1:5" x14ac:dyDescent="0.3">
      <c r="A25" t="s">
        <v>10</v>
      </c>
      <c r="B25" t="s">
        <v>26</v>
      </c>
      <c r="C25" t="s">
        <v>26</v>
      </c>
      <c r="E25" t="s">
        <v>4</v>
      </c>
    </row>
    <row r="26" spans="1:5" x14ac:dyDescent="0.3">
      <c r="A26" t="s">
        <v>13</v>
      </c>
      <c r="B26" t="s">
        <v>27</v>
      </c>
      <c r="C26" t="s">
        <v>27</v>
      </c>
      <c r="E26" t="s">
        <v>4</v>
      </c>
    </row>
    <row r="27" spans="1:5" x14ac:dyDescent="0.3">
      <c r="A27" t="s">
        <v>16</v>
      </c>
      <c r="B27" t="s">
        <v>29</v>
      </c>
      <c r="C27" t="s">
        <v>31</v>
      </c>
      <c r="E27" s="3" t="s">
        <v>131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32</v>
      </c>
      <c r="D29" t="s">
        <v>32</v>
      </c>
    </row>
    <row r="30" spans="1:5" x14ac:dyDescent="0.3">
      <c r="A30" t="s">
        <v>7</v>
      </c>
      <c r="B30" t="s">
        <v>33</v>
      </c>
      <c r="C30" t="s">
        <v>34</v>
      </c>
      <c r="E30" s="3" t="s">
        <v>131</v>
      </c>
    </row>
    <row r="31" spans="1:5" x14ac:dyDescent="0.3">
      <c r="A31" t="s">
        <v>10</v>
      </c>
      <c r="B31" t="s">
        <v>18</v>
      </c>
      <c r="C31" t="s">
        <v>12</v>
      </c>
      <c r="E31" s="3" t="s">
        <v>131</v>
      </c>
    </row>
    <row r="32" spans="1:5" x14ac:dyDescent="0.3">
      <c r="A32" t="s">
        <v>13</v>
      </c>
      <c r="B32" t="s">
        <v>33</v>
      </c>
      <c r="C32" t="s">
        <v>34</v>
      </c>
      <c r="E32" s="3" t="s">
        <v>131</v>
      </c>
    </row>
    <row r="33" spans="1:5" x14ac:dyDescent="0.3">
      <c r="A33" t="s">
        <v>16</v>
      </c>
      <c r="B33" t="s">
        <v>18</v>
      </c>
      <c r="C33" t="s">
        <v>18</v>
      </c>
      <c r="E33" t="s">
        <v>4</v>
      </c>
    </row>
    <row r="34" spans="1:5" x14ac:dyDescent="0.3">
      <c r="A34" s="2" t="s">
        <v>19</v>
      </c>
      <c r="B34" s="2"/>
      <c r="C34" s="2"/>
      <c r="D34" s="2"/>
      <c r="E34" s="2"/>
    </row>
    <row r="35" spans="1:5" x14ac:dyDescent="0.3">
      <c r="A35" t="s">
        <v>32</v>
      </c>
      <c r="D35" t="s">
        <v>32</v>
      </c>
    </row>
    <row r="36" spans="1:5" x14ac:dyDescent="0.3">
      <c r="A36" t="s">
        <v>7</v>
      </c>
      <c r="B36" t="s">
        <v>33</v>
      </c>
      <c r="C36" t="s">
        <v>33</v>
      </c>
      <c r="E36" t="s">
        <v>4</v>
      </c>
    </row>
    <row r="37" spans="1:5" x14ac:dyDescent="0.3">
      <c r="A37" t="s">
        <v>10</v>
      </c>
      <c r="B37" t="s">
        <v>18</v>
      </c>
      <c r="C37" t="s">
        <v>12</v>
      </c>
      <c r="E37" s="3" t="s">
        <v>131</v>
      </c>
    </row>
    <row r="38" spans="1:5" x14ac:dyDescent="0.3">
      <c r="A38" t="s">
        <v>13</v>
      </c>
      <c r="B38" t="s">
        <v>33</v>
      </c>
      <c r="C38" t="s">
        <v>33</v>
      </c>
      <c r="E38" t="s">
        <v>4</v>
      </c>
    </row>
    <row r="39" spans="1:5" x14ac:dyDescent="0.3">
      <c r="A39" t="s">
        <v>16</v>
      </c>
      <c r="B39" t="s">
        <v>18</v>
      </c>
      <c r="C39" t="s">
        <v>18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35</v>
      </c>
      <c r="D41" t="s">
        <v>35</v>
      </c>
    </row>
    <row r="42" spans="1:5" x14ac:dyDescent="0.3">
      <c r="A42" t="s">
        <v>7</v>
      </c>
      <c r="B42" t="s">
        <v>36</v>
      </c>
      <c r="C42" t="s">
        <v>37</v>
      </c>
      <c r="E42" s="3" t="s">
        <v>131</v>
      </c>
    </row>
    <row r="43" spans="1:5" x14ac:dyDescent="0.3">
      <c r="A43" t="s">
        <v>10</v>
      </c>
      <c r="B43" t="s">
        <v>38</v>
      </c>
      <c r="C43" t="s">
        <v>12</v>
      </c>
      <c r="E43" s="3" t="s">
        <v>131</v>
      </c>
    </row>
    <row r="44" spans="1:5" x14ac:dyDescent="0.3">
      <c r="A44" t="s">
        <v>13</v>
      </c>
      <c r="B44" t="s">
        <v>39</v>
      </c>
      <c r="C44" t="s">
        <v>40</v>
      </c>
      <c r="E44" s="3" t="s">
        <v>131</v>
      </c>
    </row>
    <row r="45" spans="1:5" x14ac:dyDescent="0.3">
      <c r="A45" t="s">
        <v>16</v>
      </c>
      <c r="B45" t="s">
        <v>41</v>
      </c>
      <c r="C45" t="s">
        <v>42</v>
      </c>
      <c r="E45" s="3" t="s">
        <v>131</v>
      </c>
    </row>
    <row r="46" spans="1:5" x14ac:dyDescent="0.3">
      <c r="A46" s="2" t="s">
        <v>19</v>
      </c>
      <c r="B46" s="2"/>
      <c r="C46" s="2"/>
      <c r="D46" s="2"/>
      <c r="E46" s="2"/>
    </row>
    <row r="47" spans="1:5" x14ac:dyDescent="0.3">
      <c r="A47" t="s">
        <v>35</v>
      </c>
      <c r="D47" t="s">
        <v>35</v>
      </c>
    </row>
    <row r="48" spans="1:5" x14ac:dyDescent="0.3">
      <c r="A48" t="s">
        <v>7</v>
      </c>
      <c r="B48" t="s">
        <v>36</v>
      </c>
      <c r="C48" t="s">
        <v>36</v>
      </c>
      <c r="E48" t="s">
        <v>4</v>
      </c>
    </row>
    <row r="49" spans="1:5" x14ac:dyDescent="0.3">
      <c r="A49" t="s">
        <v>10</v>
      </c>
      <c r="B49" t="s">
        <v>38</v>
      </c>
      <c r="C49" t="s">
        <v>38</v>
      </c>
      <c r="E49" t="s">
        <v>4</v>
      </c>
    </row>
    <row r="50" spans="1:5" x14ac:dyDescent="0.3">
      <c r="A50" t="s">
        <v>13</v>
      </c>
      <c r="B50" t="s">
        <v>39</v>
      </c>
      <c r="C50" t="s">
        <v>39</v>
      </c>
      <c r="E50" t="s">
        <v>4</v>
      </c>
    </row>
    <row r="51" spans="1:5" x14ac:dyDescent="0.3">
      <c r="A51" t="s">
        <v>16</v>
      </c>
      <c r="B51" t="s">
        <v>41</v>
      </c>
      <c r="C51" t="s">
        <v>43</v>
      </c>
      <c r="E51" s="3" t="s">
        <v>131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44</v>
      </c>
      <c r="D53" t="s">
        <v>44</v>
      </c>
    </row>
    <row r="54" spans="1:5" x14ac:dyDescent="0.3">
      <c r="A54" t="s">
        <v>7</v>
      </c>
      <c r="B54" t="s">
        <v>45</v>
      </c>
      <c r="C54" t="s">
        <v>46</v>
      </c>
      <c r="E54" s="3" t="s">
        <v>131</v>
      </c>
    </row>
    <row r="55" spans="1:5" x14ac:dyDescent="0.3">
      <c r="A55" t="s">
        <v>10</v>
      </c>
      <c r="B55" t="s">
        <v>47</v>
      </c>
      <c r="C55" t="s">
        <v>12</v>
      </c>
      <c r="E55" s="3" t="s">
        <v>131</v>
      </c>
    </row>
    <row r="56" spans="1:5" x14ac:dyDescent="0.3">
      <c r="A56" t="s">
        <v>13</v>
      </c>
      <c r="B56" t="s">
        <v>48</v>
      </c>
      <c r="C56" t="s">
        <v>49</v>
      </c>
      <c r="E56" s="3" t="s">
        <v>131</v>
      </c>
    </row>
    <row r="57" spans="1:5" x14ac:dyDescent="0.3">
      <c r="A57" t="s">
        <v>16</v>
      </c>
      <c r="B57" t="s">
        <v>50</v>
      </c>
      <c r="C57" t="s">
        <v>51</v>
      </c>
      <c r="E57" s="3" t="s">
        <v>131</v>
      </c>
    </row>
    <row r="58" spans="1:5" x14ac:dyDescent="0.3">
      <c r="A58" s="2" t="s">
        <v>19</v>
      </c>
      <c r="B58" s="2"/>
      <c r="C58" s="2"/>
      <c r="D58" s="2"/>
      <c r="E58" s="2"/>
    </row>
    <row r="59" spans="1:5" x14ac:dyDescent="0.3">
      <c r="A59" t="s">
        <v>44</v>
      </c>
      <c r="D59" t="s">
        <v>44</v>
      </c>
    </row>
    <row r="60" spans="1:5" x14ac:dyDescent="0.3">
      <c r="A60" t="s">
        <v>7</v>
      </c>
      <c r="B60" t="s">
        <v>45</v>
      </c>
      <c r="C60" t="s">
        <v>45</v>
      </c>
      <c r="E60" t="s">
        <v>4</v>
      </c>
    </row>
    <row r="61" spans="1:5" x14ac:dyDescent="0.3">
      <c r="A61" t="s">
        <v>10</v>
      </c>
      <c r="B61" t="s">
        <v>47</v>
      </c>
      <c r="C61" t="s">
        <v>47</v>
      </c>
      <c r="E61" t="s">
        <v>4</v>
      </c>
    </row>
    <row r="62" spans="1:5" x14ac:dyDescent="0.3">
      <c r="A62" t="s">
        <v>13</v>
      </c>
      <c r="B62" t="s">
        <v>48</v>
      </c>
      <c r="C62" t="s">
        <v>48</v>
      </c>
      <c r="E62" t="s">
        <v>4</v>
      </c>
    </row>
    <row r="63" spans="1:5" x14ac:dyDescent="0.3">
      <c r="A63" t="s">
        <v>16</v>
      </c>
      <c r="B63" t="s">
        <v>50</v>
      </c>
      <c r="C63" t="s">
        <v>52</v>
      </c>
      <c r="E63" s="3" t="s">
        <v>131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53</v>
      </c>
      <c r="D65" t="s">
        <v>53</v>
      </c>
    </row>
    <row r="66" spans="1:5" x14ac:dyDescent="0.3">
      <c r="A66" t="s">
        <v>7</v>
      </c>
      <c r="B66" t="s">
        <v>54</v>
      </c>
      <c r="C66" t="s">
        <v>55</v>
      </c>
      <c r="E66" s="3" t="s">
        <v>131</v>
      </c>
    </row>
    <row r="67" spans="1:5" x14ac:dyDescent="0.3">
      <c r="A67" t="s">
        <v>10</v>
      </c>
      <c r="B67" t="s">
        <v>56</v>
      </c>
      <c r="C67" t="s">
        <v>12</v>
      </c>
      <c r="E67" s="3" t="s">
        <v>131</v>
      </c>
    </row>
    <row r="68" spans="1:5" x14ac:dyDescent="0.3">
      <c r="A68" t="s">
        <v>13</v>
      </c>
      <c r="B68" t="s">
        <v>57</v>
      </c>
      <c r="C68" t="s">
        <v>58</v>
      </c>
      <c r="E68" s="3" t="s">
        <v>131</v>
      </c>
    </row>
    <row r="69" spans="1:5" x14ac:dyDescent="0.3">
      <c r="A69" t="s">
        <v>16</v>
      </c>
      <c r="B69" t="s">
        <v>59</v>
      </c>
      <c r="C69" t="s">
        <v>60</v>
      </c>
      <c r="E69" s="3" t="s">
        <v>131</v>
      </c>
    </row>
    <row r="70" spans="1:5" x14ac:dyDescent="0.3">
      <c r="A70" s="2" t="s">
        <v>19</v>
      </c>
      <c r="B70" s="2"/>
      <c r="C70" s="2"/>
      <c r="D70" s="2"/>
      <c r="E70" s="2"/>
    </row>
    <row r="71" spans="1:5" x14ac:dyDescent="0.3">
      <c r="A71" t="s">
        <v>53</v>
      </c>
      <c r="D71" t="s">
        <v>53</v>
      </c>
    </row>
    <row r="72" spans="1:5" x14ac:dyDescent="0.3">
      <c r="A72" t="s">
        <v>7</v>
      </c>
      <c r="B72" t="s">
        <v>54</v>
      </c>
      <c r="C72" t="s">
        <v>54</v>
      </c>
      <c r="E72" t="s">
        <v>4</v>
      </c>
    </row>
    <row r="73" spans="1:5" x14ac:dyDescent="0.3">
      <c r="A73" t="s">
        <v>10</v>
      </c>
      <c r="B73" t="s">
        <v>56</v>
      </c>
      <c r="C73" t="s">
        <v>56</v>
      </c>
      <c r="E73" t="s">
        <v>4</v>
      </c>
    </row>
    <row r="74" spans="1:5" x14ac:dyDescent="0.3">
      <c r="A74" t="s">
        <v>13</v>
      </c>
      <c r="B74" t="s">
        <v>57</v>
      </c>
      <c r="C74" t="s">
        <v>57</v>
      </c>
      <c r="E74" t="s">
        <v>4</v>
      </c>
    </row>
    <row r="75" spans="1:5" x14ac:dyDescent="0.3">
      <c r="A75" t="s">
        <v>16</v>
      </c>
      <c r="B75" t="s">
        <v>59</v>
      </c>
      <c r="C75" t="s">
        <v>61</v>
      </c>
      <c r="E75" s="3" t="s">
        <v>131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62</v>
      </c>
      <c r="D77" t="s">
        <v>62</v>
      </c>
    </row>
    <row r="78" spans="1:5" x14ac:dyDescent="0.3">
      <c r="A78" t="s">
        <v>7</v>
      </c>
      <c r="B78" t="s">
        <v>63</v>
      </c>
      <c r="C78" t="s">
        <v>64</v>
      </c>
      <c r="E78" s="3" t="s">
        <v>131</v>
      </c>
    </row>
    <row r="79" spans="1:5" x14ac:dyDescent="0.3">
      <c r="A79" t="s">
        <v>10</v>
      </c>
      <c r="B79" t="s">
        <v>65</v>
      </c>
      <c r="C79" t="s">
        <v>12</v>
      </c>
      <c r="E79" s="3" t="s">
        <v>131</v>
      </c>
    </row>
    <row r="80" spans="1:5" x14ac:dyDescent="0.3">
      <c r="A80" t="s">
        <v>13</v>
      </c>
      <c r="B80" t="s">
        <v>66</v>
      </c>
      <c r="C80" t="s">
        <v>67</v>
      </c>
      <c r="E80" s="3" t="s">
        <v>131</v>
      </c>
    </row>
    <row r="81" spans="1:5" x14ac:dyDescent="0.3">
      <c r="A81" t="s">
        <v>16</v>
      </c>
      <c r="B81" t="s">
        <v>68</v>
      </c>
      <c r="C81" t="s">
        <v>69</v>
      </c>
      <c r="E81" s="3" t="s">
        <v>131</v>
      </c>
    </row>
    <row r="82" spans="1:5" x14ac:dyDescent="0.3">
      <c r="A82" s="2" t="s">
        <v>19</v>
      </c>
      <c r="B82" s="2"/>
      <c r="C82" s="2"/>
      <c r="D82" s="2"/>
      <c r="E82" s="2"/>
    </row>
    <row r="83" spans="1:5" x14ac:dyDescent="0.3">
      <c r="A83" t="s">
        <v>62</v>
      </c>
      <c r="D83" t="s">
        <v>62</v>
      </c>
    </row>
    <row r="84" spans="1:5" x14ac:dyDescent="0.3">
      <c r="A84" t="s">
        <v>7</v>
      </c>
      <c r="B84" t="s">
        <v>63</v>
      </c>
      <c r="C84" t="s">
        <v>63</v>
      </c>
      <c r="E84" t="s">
        <v>4</v>
      </c>
    </row>
    <row r="85" spans="1:5" x14ac:dyDescent="0.3">
      <c r="A85" t="s">
        <v>10</v>
      </c>
      <c r="B85" t="s">
        <v>65</v>
      </c>
      <c r="C85" t="s">
        <v>65</v>
      </c>
      <c r="E85" t="s">
        <v>4</v>
      </c>
    </row>
    <row r="86" spans="1:5" x14ac:dyDescent="0.3">
      <c r="A86" t="s">
        <v>13</v>
      </c>
      <c r="B86" t="s">
        <v>66</v>
      </c>
      <c r="C86" t="s">
        <v>66</v>
      </c>
      <c r="E86" t="s">
        <v>4</v>
      </c>
    </row>
    <row r="87" spans="1:5" x14ac:dyDescent="0.3">
      <c r="A87" t="s">
        <v>16</v>
      </c>
      <c r="B87" t="s">
        <v>68</v>
      </c>
      <c r="C87" t="s">
        <v>70</v>
      </c>
      <c r="E87" s="3" t="s">
        <v>131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71</v>
      </c>
      <c r="D89" t="s">
        <v>71</v>
      </c>
    </row>
    <row r="90" spans="1:5" x14ac:dyDescent="0.3">
      <c r="A90" t="s">
        <v>7</v>
      </c>
      <c r="B90" t="s">
        <v>72</v>
      </c>
      <c r="C90" t="s">
        <v>73</v>
      </c>
      <c r="E90" s="3" t="s">
        <v>131</v>
      </c>
    </row>
    <row r="91" spans="1:5" x14ac:dyDescent="0.3">
      <c r="A91" t="s">
        <v>10</v>
      </c>
      <c r="B91" t="s">
        <v>74</v>
      </c>
      <c r="C91" t="s">
        <v>12</v>
      </c>
      <c r="E91" s="3" t="s">
        <v>131</v>
      </c>
    </row>
    <row r="92" spans="1:5" x14ac:dyDescent="0.3">
      <c r="A92" t="s">
        <v>13</v>
      </c>
      <c r="B92" t="s">
        <v>75</v>
      </c>
      <c r="C92" t="s">
        <v>76</v>
      </c>
      <c r="E92" s="3" t="s">
        <v>131</v>
      </c>
    </row>
    <row r="93" spans="1:5" x14ac:dyDescent="0.3">
      <c r="A93" t="s">
        <v>16</v>
      </c>
      <c r="B93" t="s">
        <v>77</v>
      </c>
      <c r="C93" t="s">
        <v>78</v>
      </c>
      <c r="E93" s="3" t="s">
        <v>131</v>
      </c>
    </row>
    <row r="94" spans="1:5" x14ac:dyDescent="0.3">
      <c r="A94" s="2" t="s">
        <v>19</v>
      </c>
      <c r="B94" s="2"/>
      <c r="C94" s="2"/>
      <c r="D94" s="2"/>
      <c r="E94" s="2"/>
    </row>
    <row r="95" spans="1:5" x14ac:dyDescent="0.3">
      <c r="A95" t="s">
        <v>71</v>
      </c>
      <c r="D95" t="s">
        <v>71</v>
      </c>
    </row>
    <row r="96" spans="1:5" x14ac:dyDescent="0.3">
      <c r="A96" t="s">
        <v>7</v>
      </c>
      <c r="B96" t="s">
        <v>72</v>
      </c>
      <c r="C96" t="s">
        <v>79</v>
      </c>
      <c r="E96" s="3" t="s">
        <v>131</v>
      </c>
    </row>
    <row r="97" spans="1:5" x14ac:dyDescent="0.3">
      <c r="A97" t="s">
        <v>10</v>
      </c>
      <c r="B97" t="s">
        <v>74</v>
      </c>
      <c r="C97" t="s">
        <v>74</v>
      </c>
      <c r="E97" t="s">
        <v>4</v>
      </c>
    </row>
    <row r="98" spans="1:5" x14ac:dyDescent="0.3">
      <c r="A98" t="s">
        <v>13</v>
      </c>
      <c r="B98" t="s">
        <v>75</v>
      </c>
      <c r="C98" t="s">
        <v>80</v>
      </c>
      <c r="E98" s="3" t="s">
        <v>131</v>
      </c>
    </row>
    <row r="99" spans="1:5" x14ac:dyDescent="0.3">
      <c r="A99" t="s">
        <v>16</v>
      </c>
      <c r="B99" t="s">
        <v>77</v>
      </c>
      <c r="C99" t="s">
        <v>81</v>
      </c>
      <c r="E99" s="3" t="s">
        <v>131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82</v>
      </c>
      <c r="D101" t="s">
        <v>82</v>
      </c>
    </row>
    <row r="102" spans="1:5" x14ac:dyDescent="0.3">
      <c r="A102" t="s">
        <v>7</v>
      </c>
      <c r="B102" t="s">
        <v>83</v>
      </c>
      <c r="C102" t="s">
        <v>84</v>
      </c>
      <c r="E102" s="3" t="s">
        <v>131</v>
      </c>
    </row>
    <row r="103" spans="1:5" x14ac:dyDescent="0.3">
      <c r="A103" t="s">
        <v>10</v>
      </c>
      <c r="B103" t="s">
        <v>85</v>
      </c>
      <c r="C103" t="s">
        <v>12</v>
      </c>
      <c r="E103" s="3" t="s">
        <v>131</v>
      </c>
    </row>
    <row r="104" spans="1:5" x14ac:dyDescent="0.3">
      <c r="A104" t="s">
        <v>13</v>
      </c>
      <c r="B104" t="s">
        <v>86</v>
      </c>
      <c r="C104" t="s">
        <v>87</v>
      </c>
      <c r="E104" s="3" t="s">
        <v>131</v>
      </c>
    </row>
    <row r="105" spans="1:5" x14ac:dyDescent="0.3">
      <c r="A105" t="s">
        <v>16</v>
      </c>
      <c r="B105" t="s">
        <v>88</v>
      </c>
      <c r="C105" t="s">
        <v>18</v>
      </c>
      <c r="E105" s="3" t="s">
        <v>131</v>
      </c>
    </row>
    <row r="106" spans="1:5" x14ac:dyDescent="0.3">
      <c r="A106" s="2" t="s">
        <v>19</v>
      </c>
      <c r="B106" s="2"/>
      <c r="C106" s="2"/>
      <c r="D106" s="2"/>
      <c r="E106" s="2"/>
    </row>
    <row r="107" spans="1:5" x14ac:dyDescent="0.3">
      <c r="A107" t="s">
        <v>82</v>
      </c>
      <c r="D107" t="s">
        <v>82</v>
      </c>
    </row>
    <row r="108" spans="1:5" x14ac:dyDescent="0.3">
      <c r="A108" t="s">
        <v>7</v>
      </c>
      <c r="B108" t="s">
        <v>83</v>
      </c>
      <c r="C108" t="s">
        <v>83</v>
      </c>
      <c r="E108" t="s">
        <v>4</v>
      </c>
    </row>
    <row r="109" spans="1:5" x14ac:dyDescent="0.3">
      <c r="A109" t="s">
        <v>10</v>
      </c>
      <c r="B109" t="s">
        <v>85</v>
      </c>
      <c r="C109" t="s">
        <v>85</v>
      </c>
      <c r="E109" t="s">
        <v>4</v>
      </c>
    </row>
    <row r="110" spans="1:5" x14ac:dyDescent="0.3">
      <c r="A110" t="s">
        <v>13</v>
      </c>
      <c r="B110" t="s">
        <v>86</v>
      </c>
      <c r="C110" t="s">
        <v>86</v>
      </c>
      <c r="E110" t="s">
        <v>4</v>
      </c>
    </row>
    <row r="111" spans="1:5" x14ac:dyDescent="0.3">
      <c r="A111" t="s">
        <v>16</v>
      </c>
      <c r="B111" t="s">
        <v>88</v>
      </c>
      <c r="C111" t="s">
        <v>89</v>
      </c>
      <c r="E111" s="3" t="s">
        <v>131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90</v>
      </c>
      <c r="D113" t="s">
        <v>90</v>
      </c>
    </row>
    <row r="114" spans="1:5" x14ac:dyDescent="0.3">
      <c r="A114" t="s">
        <v>7</v>
      </c>
      <c r="B114" t="s">
        <v>91</v>
      </c>
      <c r="C114" t="s">
        <v>92</v>
      </c>
      <c r="E114" s="3" t="s">
        <v>131</v>
      </c>
    </row>
    <row r="115" spans="1:5" x14ac:dyDescent="0.3">
      <c r="A115" t="s">
        <v>10</v>
      </c>
      <c r="B115" t="s">
        <v>93</v>
      </c>
      <c r="C115" t="s">
        <v>12</v>
      </c>
      <c r="E115" s="3" t="s">
        <v>131</v>
      </c>
    </row>
    <row r="116" spans="1:5" x14ac:dyDescent="0.3">
      <c r="A116" t="s">
        <v>13</v>
      </c>
      <c r="B116" t="s">
        <v>94</v>
      </c>
      <c r="C116" t="s">
        <v>95</v>
      </c>
      <c r="E116" s="3" t="s">
        <v>131</v>
      </c>
    </row>
    <row r="117" spans="1:5" x14ac:dyDescent="0.3">
      <c r="A117" t="s">
        <v>16</v>
      </c>
      <c r="B117" t="s">
        <v>96</v>
      </c>
      <c r="C117" t="s">
        <v>97</v>
      </c>
      <c r="E117" s="3" t="s">
        <v>131</v>
      </c>
    </row>
    <row r="118" spans="1:5" x14ac:dyDescent="0.3">
      <c r="A118" s="2" t="s">
        <v>19</v>
      </c>
      <c r="B118" s="2"/>
      <c r="C118" s="2"/>
      <c r="D118" s="2"/>
      <c r="E118" s="2"/>
    </row>
    <row r="119" spans="1:5" x14ac:dyDescent="0.3">
      <c r="A119" t="s">
        <v>90</v>
      </c>
      <c r="D119" t="s">
        <v>90</v>
      </c>
    </row>
    <row r="120" spans="1:5" x14ac:dyDescent="0.3">
      <c r="A120" t="s">
        <v>7</v>
      </c>
      <c r="B120" t="s">
        <v>91</v>
      </c>
      <c r="C120" t="s">
        <v>98</v>
      </c>
      <c r="E120" s="3" t="s">
        <v>131</v>
      </c>
    </row>
    <row r="121" spans="1:5" x14ac:dyDescent="0.3">
      <c r="A121" t="s">
        <v>10</v>
      </c>
      <c r="B121" t="s">
        <v>93</v>
      </c>
      <c r="C121" t="s">
        <v>93</v>
      </c>
      <c r="E121" t="s">
        <v>4</v>
      </c>
    </row>
    <row r="122" spans="1:5" x14ac:dyDescent="0.3">
      <c r="A122" t="s">
        <v>13</v>
      </c>
      <c r="B122" t="s">
        <v>94</v>
      </c>
      <c r="C122" t="s">
        <v>99</v>
      </c>
      <c r="E122" s="3" t="s">
        <v>131</v>
      </c>
    </row>
    <row r="123" spans="1:5" x14ac:dyDescent="0.3">
      <c r="A123" t="s">
        <v>16</v>
      </c>
      <c r="B123" t="s">
        <v>96</v>
      </c>
      <c r="C123" t="s">
        <v>100</v>
      </c>
      <c r="E123" s="3" t="s">
        <v>131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101</v>
      </c>
      <c r="D125" t="s">
        <v>101</v>
      </c>
    </row>
    <row r="126" spans="1:5" x14ac:dyDescent="0.3">
      <c r="A126" t="s">
        <v>7</v>
      </c>
      <c r="B126" t="s">
        <v>102</v>
      </c>
      <c r="C126" t="s">
        <v>103</v>
      </c>
      <c r="E126" s="3" t="s">
        <v>131</v>
      </c>
    </row>
    <row r="127" spans="1:5" x14ac:dyDescent="0.3">
      <c r="A127" t="s">
        <v>10</v>
      </c>
      <c r="B127" t="s">
        <v>104</v>
      </c>
      <c r="C127" t="s">
        <v>12</v>
      </c>
      <c r="E127" s="3" t="s">
        <v>131</v>
      </c>
    </row>
    <row r="128" spans="1:5" x14ac:dyDescent="0.3">
      <c r="A128" t="s">
        <v>13</v>
      </c>
      <c r="B128" t="s">
        <v>105</v>
      </c>
      <c r="C128" t="s">
        <v>106</v>
      </c>
      <c r="E128" s="3" t="s">
        <v>131</v>
      </c>
    </row>
    <row r="129" spans="1:5" x14ac:dyDescent="0.3">
      <c r="A129" t="s">
        <v>16</v>
      </c>
      <c r="B129" t="s">
        <v>107</v>
      </c>
      <c r="C129" t="s">
        <v>108</v>
      </c>
      <c r="E129" s="3" t="s">
        <v>131</v>
      </c>
    </row>
    <row r="130" spans="1:5" x14ac:dyDescent="0.3">
      <c r="A130" s="2" t="s">
        <v>19</v>
      </c>
      <c r="B130" s="2"/>
      <c r="C130" s="2"/>
      <c r="D130" s="2"/>
      <c r="E130" s="2"/>
    </row>
    <row r="131" spans="1:5" x14ac:dyDescent="0.3">
      <c r="A131" t="s">
        <v>101</v>
      </c>
      <c r="D131" t="s">
        <v>101</v>
      </c>
    </row>
    <row r="132" spans="1:5" x14ac:dyDescent="0.3">
      <c r="A132" t="s">
        <v>7</v>
      </c>
      <c r="B132" t="s">
        <v>102</v>
      </c>
      <c r="C132" t="s">
        <v>109</v>
      </c>
      <c r="E132" s="3" t="s">
        <v>131</v>
      </c>
    </row>
    <row r="133" spans="1:5" x14ac:dyDescent="0.3">
      <c r="A133" t="s">
        <v>10</v>
      </c>
      <c r="B133" t="s">
        <v>104</v>
      </c>
      <c r="C133" t="s">
        <v>104</v>
      </c>
      <c r="E133" t="s">
        <v>4</v>
      </c>
    </row>
    <row r="134" spans="1:5" x14ac:dyDescent="0.3">
      <c r="A134" t="s">
        <v>13</v>
      </c>
      <c r="B134" t="s">
        <v>105</v>
      </c>
      <c r="C134" t="s">
        <v>110</v>
      </c>
      <c r="E134" s="3" t="s">
        <v>131</v>
      </c>
    </row>
    <row r="135" spans="1:5" x14ac:dyDescent="0.3">
      <c r="A135" t="s">
        <v>16</v>
      </c>
      <c r="B135" t="s">
        <v>107</v>
      </c>
      <c r="C135" t="s">
        <v>111</v>
      </c>
      <c r="E135" s="3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661B-9FA4-4EEA-BF1A-BE258C35DFCF}">
  <dimension ref="A1:E11"/>
  <sheetViews>
    <sheetView workbookViewId="0"/>
  </sheetViews>
  <sheetFormatPr defaultRowHeight="14.4" x14ac:dyDescent="0.3"/>
  <cols>
    <col min="1" max="1" width="25.218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109375" bestFit="1" customWidth="1"/>
  </cols>
  <sheetData>
    <row r="1" spans="1:5" x14ac:dyDescent="0.3">
      <c r="A1" s="4" t="s">
        <v>130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112</v>
      </c>
      <c r="B5" s="9">
        <v>9482669.5899999999</v>
      </c>
      <c r="C5" s="10">
        <v>0</v>
      </c>
      <c r="D5" t="s">
        <v>113</v>
      </c>
      <c r="E5" s="3" t="str">
        <f>IF(B5=C5, "Match", "No Match")</f>
        <v>No Match</v>
      </c>
    </row>
    <row r="6" spans="1:5" x14ac:dyDescent="0.3">
      <c r="A6" t="s">
        <v>114</v>
      </c>
      <c r="B6" s="9">
        <v>2857423.86</v>
      </c>
      <c r="C6" s="10">
        <v>0</v>
      </c>
      <c r="D6" t="s">
        <v>115</v>
      </c>
      <c r="E6" s="3" t="str">
        <f t="shared" ref="E6" si="0">IF(B6=C6, "Match", "No Match")</f>
        <v>No Match</v>
      </c>
    </row>
    <row r="7" spans="1:5" x14ac:dyDescent="0.3">
      <c r="A7" t="s">
        <v>116</v>
      </c>
      <c r="B7" s="9">
        <v>6625245.7300000004</v>
      </c>
      <c r="C7" s="10">
        <v>6625266.25</v>
      </c>
      <c r="D7" t="s">
        <v>117</v>
      </c>
      <c r="E7" s="3" t="str">
        <f>IF(B7=C7, "Match", "No Match")</f>
        <v>No Match</v>
      </c>
    </row>
    <row r="8" spans="1:5" x14ac:dyDescent="0.3">
      <c r="A8" s="8" t="s">
        <v>19</v>
      </c>
      <c r="B8" s="11"/>
      <c r="C8" s="11"/>
      <c r="D8" s="8"/>
      <c r="E8" s="8"/>
    </row>
    <row r="9" spans="1:5" x14ac:dyDescent="0.3">
      <c r="A9" t="s">
        <v>112</v>
      </c>
      <c r="B9" s="9">
        <v>9482669.5899999999</v>
      </c>
      <c r="C9" s="10">
        <v>0</v>
      </c>
      <c r="D9" t="s">
        <v>118</v>
      </c>
      <c r="E9" s="3" t="str">
        <f t="shared" ref="E9:E10" si="1">IF(B9=C9, "Match", "No Match")</f>
        <v>No Match</v>
      </c>
    </row>
    <row r="10" spans="1:5" x14ac:dyDescent="0.3">
      <c r="A10" t="s">
        <v>114</v>
      </c>
      <c r="B10" s="9">
        <v>2857423.86</v>
      </c>
      <c r="C10" s="10">
        <v>0</v>
      </c>
      <c r="D10" t="s">
        <v>119</v>
      </c>
      <c r="E10" s="3" t="str">
        <f t="shared" si="1"/>
        <v>No Match</v>
      </c>
    </row>
    <row r="11" spans="1:5" x14ac:dyDescent="0.3">
      <c r="A11" t="s">
        <v>116</v>
      </c>
      <c r="B11" s="9">
        <v>6625245.7300000004</v>
      </c>
      <c r="C11" s="10">
        <v>6625266.25</v>
      </c>
      <c r="D11" t="s">
        <v>120</v>
      </c>
      <c r="E11" s="3" t="str">
        <f>IF(B11=C11, "Match", "No Match")</f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151E-A128-4DC7-A7AD-32BEF4AAD6FB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130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112</v>
      </c>
      <c r="B5" s="9">
        <v>9482669.5899999999</v>
      </c>
      <c r="C5" s="9">
        <v>0</v>
      </c>
      <c r="D5" t="s">
        <v>121</v>
      </c>
      <c r="E5" s="3" t="str">
        <f>IF(B5=C5, "Match", "No Match")</f>
        <v>No Match</v>
      </c>
    </row>
    <row r="6" spans="1:5" x14ac:dyDescent="0.3">
      <c r="A6" t="s">
        <v>114</v>
      </c>
      <c r="B6" s="9">
        <v>2857423.86</v>
      </c>
      <c r="C6" s="9">
        <v>0</v>
      </c>
      <c r="D6" t="s">
        <v>122</v>
      </c>
      <c r="E6" s="3" t="str">
        <f>IF(B6=C6, "Match", "No Match")</f>
        <v>No Match</v>
      </c>
    </row>
    <row r="7" spans="1:5" x14ac:dyDescent="0.3">
      <c r="A7" t="s">
        <v>116</v>
      </c>
      <c r="B7" s="9">
        <v>6625245.7300000004</v>
      </c>
      <c r="C7" s="9">
        <v>6625266.25</v>
      </c>
      <c r="D7" t="s">
        <v>123</v>
      </c>
      <c r="E7" s="3" t="str">
        <f>IF(B7=C7, "Match", "No Match")</f>
        <v>No Match</v>
      </c>
    </row>
    <row r="8" spans="1:5" x14ac:dyDescent="0.3">
      <c r="A8" t="s">
        <v>124</v>
      </c>
      <c r="B8" s="9">
        <v>494311.58</v>
      </c>
      <c r="C8" s="9">
        <v>494311.58</v>
      </c>
      <c r="D8" t="s">
        <v>125</v>
      </c>
      <c r="E8" s="3" t="str">
        <f>IF(B8=C8, "Match", "No Match")</f>
        <v>Match</v>
      </c>
    </row>
    <row r="9" spans="1:5" x14ac:dyDescent="0.3">
      <c r="A9" t="s">
        <v>126</v>
      </c>
      <c r="B9" s="9">
        <v>346810.66</v>
      </c>
      <c r="C9" s="9">
        <v>346810.66</v>
      </c>
      <c r="D9" t="s">
        <v>127</v>
      </c>
      <c r="E9" s="3" t="str">
        <f>IF(B9=C9, "Match", "No Match")</f>
        <v>Match</v>
      </c>
    </row>
    <row r="10" spans="1:5" x14ac:dyDescent="0.3">
      <c r="A10" s="12" t="s">
        <v>19</v>
      </c>
      <c r="B10" s="12"/>
      <c r="C10" s="12"/>
      <c r="D10" s="12"/>
      <c r="E10" s="12"/>
    </row>
    <row r="11" spans="1:5" x14ac:dyDescent="0.3">
      <c r="A11" t="s">
        <v>112</v>
      </c>
      <c r="B11" s="9">
        <v>9482669.5899999999</v>
      </c>
      <c r="C11" s="9">
        <v>0</v>
      </c>
      <c r="D11" t="s">
        <v>118</v>
      </c>
      <c r="E11" s="3" t="str">
        <f>IF(B11=C11, "Match", "No Match")</f>
        <v>No Match</v>
      </c>
    </row>
    <row r="12" spans="1:5" x14ac:dyDescent="0.3">
      <c r="A12" t="s">
        <v>114</v>
      </c>
      <c r="B12" s="9">
        <v>2857423.86</v>
      </c>
      <c r="C12" s="9">
        <v>0</v>
      </c>
      <c r="D12" t="s">
        <v>119</v>
      </c>
      <c r="E12" s="3" t="str">
        <f>IF(B12=C12, "Match", "No Match")</f>
        <v>No Match</v>
      </c>
    </row>
    <row r="13" spans="1:5" x14ac:dyDescent="0.3">
      <c r="A13" t="s">
        <v>116</v>
      </c>
      <c r="B13" s="9">
        <v>6625245.7300000004</v>
      </c>
      <c r="C13" s="9">
        <v>6625266.25</v>
      </c>
      <c r="D13" t="s">
        <v>120</v>
      </c>
      <c r="E13" s="3" t="str">
        <f>IF(B13=C13, "Match", "No Match")</f>
        <v>No Match</v>
      </c>
    </row>
    <row r="14" spans="1:5" x14ac:dyDescent="0.3">
      <c r="A14" t="s">
        <v>124</v>
      </c>
      <c r="B14" s="9">
        <v>494311.58</v>
      </c>
      <c r="C14" s="9">
        <v>494311.58</v>
      </c>
      <c r="D14" t="s">
        <v>128</v>
      </c>
      <c r="E14" s="3" t="str">
        <f>IF(B14=C14, "Match", "No Match")</f>
        <v>Match</v>
      </c>
    </row>
    <row r="15" spans="1:5" x14ac:dyDescent="0.3">
      <c r="A15" t="s">
        <v>126</v>
      </c>
      <c r="B15" s="9">
        <v>346810.66</v>
      </c>
      <c r="C15" s="9">
        <v>346810.66</v>
      </c>
      <c r="D15" t="s">
        <v>129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2025-11-07T14:46:05Z</dcterms:created>
  <dcterms:modified xsi:type="dcterms:W3CDTF">2025-11-10T04:17:27Z</dcterms:modified>
</cp:coreProperties>
</file>